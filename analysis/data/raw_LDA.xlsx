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rika\Downloads\"/>
    </mc:Choice>
  </mc:AlternateContent>
  <xr:revisionPtr revIDLastSave="0" documentId="13_ncr:1_{52C50DF9-CEE1-4149-9AA5-7E899AD21BFA}" xr6:coauthVersionLast="47" xr6:coauthVersionMax="47" xr10:uidLastSave="{00000000-0000-0000-0000-000000000000}"/>
  <bookViews>
    <workbookView xWindow="-120" yWindow="-120" windowWidth="29040" windowHeight="15720" activeTab="1" xr2:uid="{834FF916-D6DE-452A-B5B9-B4700A430468}"/>
  </bookViews>
  <sheets>
    <sheet name="Sheet3" sheetId="4" r:id="rId1"/>
    <sheet name="Final data" sheetId="2" r:id="rId2"/>
    <sheet name="Sheet1" sheetId="1" r:id="rId3"/>
  </sheets>
  <definedNames>
    <definedName name="_xlnm._FilterDatabase" localSheetId="1" hidden="1">'Final data'!$A$1:$DO$91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86" i="2" l="1"/>
  <c r="BR86" i="2"/>
  <c r="BS86" i="2"/>
  <c r="BT86" i="2"/>
  <c r="BP86" i="2"/>
  <c r="CB80" i="2"/>
  <c r="CC80" i="2"/>
  <c r="CD80" i="2"/>
  <c r="CE80" i="2"/>
  <c r="CF80" i="2"/>
  <c r="CA80" i="2"/>
  <c r="CH86" i="2"/>
  <c r="CI86" i="2"/>
  <c r="CJ86" i="2"/>
  <c r="CK86" i="2"/>
  <c r="CL86" i="2"/>
  <c r="CG86" i="2"/>
  <c r="CH82" i="2"/>
  <c r="CI82" i="2"/>
  <c r="CJ82" i="2"/>
  <c r="CK82" i="2"/>
  <c r="CL82" i="2"/>
  <c r="CG82" i="2"/>
  <c r="BF89" i="2"/>
  <c r="BG89" i="2"/>
  <c r="BH89" i="2"/>
  <c r="BI89" i="2"/>
  <c r="BJ89" i="2"/>
  <c r="BK89" i="2"/>
  <c r="BE89" i="2"/>
  <c r="BF88" i="2"/>
  <c r="BG88" i="2"/>
  <c r="BH88" i="2"/>
  <c r="BI88" i="2"/>
  <c r="BJ88" i="2"/>
  <c r="BK88" i="2"/>
  <c r="BE88" i="2"/>
  <c r="BF80" i="2"/>
  <c r="BG80" i="2"/>
  <c r="BH80" i="2"/>
  <c r="BI80" i="2"/>
  <c r="BJ80" i="2"/>
  <c r="BE80" i="2"/>
  <c r="BF73" i="2"/>
  <c r="BG73" i="2"/>
  <c r="BH73" i="2"/>
  <c r="BI73" i="2"/>
  <c r="BJ73" i="2"/>
  <c r="BE73" i="2"/>
  <c r="BF68" i="2"/>
  <c r="BG68" i="2"/>
  <c r="BH68" i="2"/>
  <c r="BI68" i="2"/>
  <c r="BE68" i="2"/>
  <c r="BF67" i="2"/>
  <c r="BG67" i="2"/>
  <c r="BH67" i="2"/>
  <c r="BI67" i="2"/>
  <c r="BJ67" i="2"/>
  <c r="BE67" i="2"/>
  <c r="BF56" i="2"/>
  <c r="BG56" i="2"/>
  <c r="BH56" i="2"/>
  <c r="BI56" i="2"/>
  <c r="BJ56" i="2"/>
  <c r="BE56" i="2"/>
  <c r="BF49" i="2"/>
  <c r="BG49" i="2"/>
  <c r="BH49" i="2"/>
  <c r="BI49" i="2"/>
  <c r="BJ49" i="2"/>
  <c r="BE49" i="2"/>
  <c r="AZ91" i="2"/>
  <c r="BA91" i="2"/>
  <c r="BB91" i="2"/>
  <c r="BC91" i="2"/>
  <c r="AY91" i="2"/>
  <c r="AZ83" i="2"/>
  <c r="BA83" i="2"/>
  <c r="BB83" i="2"/>
  <c r="BC83" i="2"/>
  <c r="AY83" i="2"/>
  <c r="AZ80" i="2"/>
  <c r="BA80" i="2"/>
  <c r="BB80" i="2"/>
  <c r="BC80" i="2"/>
  <c r="AY80" i="2"/>
  <c r="AZ77" i="2"/>
  <c r="BA77" i="2"/>
  <c r="BB77" i="2"/>
  <c r="BC77" i="2"/>
  <c r="AY77" i="2"/>
  <c r="AZ73" i="2"/>
  <c r="BA73" i="2"/>
  <c r="BB73" i="2"/>
  <c r="BC73" i="2"/>
  <c r="BD73" i="2"/>
  <c r="AY73" i="2"/>
  <c r="AW77" i="2"/>
  <c r="AT77" i="2"/>
  <c r="AU77" i="2"/>
  <c r="AV77" i="2"/>
  <c r="AS77" i="2"/>
  <c r="AC65" i="2"/>
  <c r="AD70" i="2"/>
  <c r="AE70" i="2"/>
  <c r="AF70" i="2"/>
  <c r="AC70" i="2"/>
  <c r="AD79" i="2"/>
  <c r="AE79" i="2"/>
  <c r="AF79" i="2"/>
  <c r="AC79" i="2"/>
  <c r="AC25" i="2"/>
  <c r="AC20" i="2"/>
  <c r="Z56" i="2"/>
  <c r="AA56" i="2"/>
  <c r="AB56" i="2"/>
  <c r="Z19" i="2"/>
  <c r="AA19" i="2"/>
  <c r="AB19" i="2"/>
  <c r="Z29" i="2"/>
  <c r="AA29" i="2"/>
  <c r="AB29" i="2"/>
  <c r="AA25" i="2"/>
  <c r="AB25" i="2"/>
  <c r="Z25" i="2"/>
  <c r="X19" i="2"/>
  <c r="Y19" i="2"/>
  <c r="W19" i="2"/>
  <c r="X22" i="2"/>
  <c r="Y22" i="2"/>
  <c r="W22" i="2"/>
  <c r="X25" i="2"/>
  <c r="Y25" i="2"/>
  <c r="X26" i="2"/>
  <c r="Y26" i="2"/>
  <c r="W26" i="2"/>
  <c r="X29" i="2"/>
  <c r="Y29" i="2"/>
  <c r="W29" i="2"/>
  <c r="X40" i="2"/>
  <c r="Y56" i="2"/>
  <c r="X56" i="2"/>
  <c r="X64" i="2"/>
  <c r="Y67" i="2"/>
  <c r="X67" i="2"/>
  <c r="X73" i="2"/>
  <c r="W73" i="2"/>
  <c r="X74" i="2"/>
  <c r="X88" i="2"/>
  <c r="W76" i="2"/>
  <c r="W70" i="2"/>
  <c r="W62" i="2"/>
  <c r="N4" i="2"/>
  <c r="M25" i="2"/>
  <c r="M49" i="2"/>
  <c r="M52" i="2"/>
  <c r="M53" i="2"/>
  <c r="L23" i="2"/>
  <c r="K7" i="2"/>
  <c r="K26" i="2"/>
  <c r="K52" i="2"/>
  <c r="K74" i="2"/>
  <c r="J29" i="2"/>
  <c r="CM86" i="2"/>
  <c r="CM80" i="2"/>
  <c r="CM74" i="2"/>
  <c r="CM65" i="2"/>
  <c r="CM64" i="2"/>
  <c r="CM46" i="2"/>
  <c r="CM38" i="2"/>
  <c r="CM37" i="2"/>
  <c r="CM32" i="2"/>
  <c r="CM20" i="2"/>
  <c r="CM11" i="2"/>
  <c r="CM8" i="2"/>
  <c r="CM4" i="2"/>
  <c r="CN91" i="2"/>
  <c r="CN86" i="2"/>
  <c r="CN85" i="2"/>
  <c r="CN64" i="2"/>
  <c r="CN56" i="2"/>
  <c r="CN55" i="2"/>
  <c r="CN34" i="2"/>
  <c r="CN29" i="2"/>
  <c r="CN19" i="2"/>
  <c r="CN14" i="2"/>
  <c r="CN11" i="2"/>
  <c r="CO91" i="2"/>
  <c r="CO74" i="2"/>
  <c r="CO64" i="2"/>
  <c r="CO56" i="2"/>
  <c r="CO49" i="2"/>
  <c r="CO40" i="2"/>
  <c r="CO29" i="2"/>
  <c r="CO10" i="2"/>
  <c r="CP88" i="2"/>
  <c r="CP34" i="2"/>
  <c r="CP29" i="2"/>
  <c r="CP28" i="2"/>
  <c r="CP20" i="2"/>
  <c r="CP17" i="2"/>
  <c r="CP11" i="2"/>
  <c r="CP8" i="2"/>
  <c r="CQ83" i="2"/>
  <c r="CQ80" i="2"/>
  <c r="CQ74" i="2"/>
  <c r="CQ65" i="2"/>
  <c r="CQ59" i="2"/>
  <c r="CQ58" i="2"/>
  <c r="CQ20" i="2"/>
  <c r="CQ11" i="2"/>
  <c r="CQ87" i="2"/>
  <c r="CQ64" i="2"/>
  <c r="CQ38" i="2"/>
  <c r="CR85" i="2"/>
  <c r="CR89" i="2"/>
  <c r="CR86" i="2"/>
  <c r="CR57" i="2"/>
  <c r="CR54" i="2"/>
  <c r="CR53" i="2"/>
  <c r="CR12" i="2"/>
  <c r="CR11" i="2"/>
  <c r="CR7" i="2"/>
  <c r="CR4" i="2"/>
  <c r="CS91" i="2"/>
  <c r="CS50" i="2"/>
  <c r="CS47" i="2"/>
  <c r="CQ16" i="2" l="1"/>
  <c r="CR16" i="2"/>
  <c r="CP16" i="2"/>
  <c r="CQ25" i="2"/>
  <c r="CR25" i="2"/>
  <c r="CP25" i="2"/>
  <c r="CP41" i="2"/>
  <c r="CP46" i="2"/>
  <c r="CQ46" i="2"/>
  <c r="CR46" i="2"/>
  <c r="CQ41" i="2"/>
  <c r="CR41" i="2"/>
  <c r="CQ37" i="2"/>
  <c r="CR37" i="2"/>
  <c r="DO3" i="2"/>
  <c r="DO4" i="2"/>
  <c r="DO5" i="2"/>
  <c r="DO6" i="2"/>
  <c r="DO7" i="2"/>
  <c r="DO8" i="2"/>
  <c r="DO9" i="2"/>
  <c r="DO10" i="2"/>
  <c r="DO11" i="2"/>
  <c r="DO12" i="2"/>
  <c r="DO13" i="2"/>
  <c r="DO14" i="2"/>
  <c r="DO15" i="2"/>
  <c r="DO16" i="2"/>
  <c r="DO17" i="2"/>
  <c r="DO18" i="2"/>
  <c r="DO19" i="2"/>
  <c r="DO20" i="2"/>
  <c r="DO21" i="2"/>
  <c r="DO22" i="2"/>
  <c r="DO23" i="2"/>
  <c r="DO24" i="2"/>
  <c r="DO25" i="2"/>
  <c r="DO26" i="2"/>
  <c r="DO27" i="2"/>
  <c r="DO28" i="2"/>
  <c r="DO29" i="2"/>
  <c r="DO30" i="2"/>
  <c r="DO31" i="2"/>
  <c r="DO32" i="2"/>
  <c r="DO33" i="2"/>
  <c r="DO34" i="2"/>
  <c r="DO35" i="2"/>
  <c r="DO36" i="2"/>
  <c r="DO37" i="2"/>
  <c r="DO38" i="2"/>
  <c r="DO39" i="2"/>
  <c r="DO40" i="2"/>
  <c r="DO41" i="2"/>
  <c r="DO42" i="2"/>
  <c r="DO43" i="2"/>
  <c r="DO44" i="2"/>
  <c r="DO45" i="2"/>
  <c r="DO46" i="2"/>
  <c r="DO47" i="2"/>
  <c r="DO48" i="2"/>
  <c r="DO49" i="2"/>
  <c r="DO50" i="2"/>
  <c r="DO51" i="2"/>
  <c r="DO52" i="2"/>
  <c r="DO53" i="2"/>
  <c r="DO54" i="2"/>
  <c r="DO55" i="2"/>
  <c r="DO56" i="2"/>
  <c r="DO57" i="2"/>
  <c r="DO58" i="2"/>
  <c r="DO59" i="2"/>
  <c r="DO60" i="2"/>
  <c r="DO61" i="2"/>
  <c r="DO62" i="2"/>
  <c r="DO63" i="2"/>
  <c r="DO64" i="2"/>
  <c r="DO65" i="2"/>
  <c r="DO66" i="2"/>
  <c r="DO67" i="2"/>
  <c r="DO68" i="2"/>
  <c r="DO69" i="2"/>
  <c r="DO70" i="2"/>
  <c r="DO71" i="2"/>
  <c r="DO72" i="2"/>
  <c r="DO73" i="2"/>
  <c r="DO74" i="2"/>
  <c r="DO75" i="2"/>
  <c r="DO76" i="2"/>
  <c r="DO77" i="2"/>
  <c r="DO78" i="2"/>
  <c r="DO79" i="2"/>
  <c r="DO80" i="2"/>
  <c r="DO81" i="2"/>
  <c r="DO82" i="2"/>
  <c r="DO83" i="2"/>
  <c r="DO84" i="2"/>
  <c r="DO85" i="2"/>
  <c r="DO86" i="2"/>
  <c r="DO87" i="2"/>
  <c r="DO88" i="2"/>
  <c r="DO89" i="2"/>
  <c r="DO90" i="2"/>
  <c r="DO91" i="2"/>
  <c r="DO2" i="2"/>
  <c r="DN3" i="2"/>
  <c r="DN4" i="2"/>
  <c r="DN5" i="2"/>
  <c r="DN6" i="2"/>
  <c r="DN7" i="2"/>
  <c r="DN8" i="2"/>
  <c r="DN9" i="2"/>
  <c r="DN10" i="2"/>
  <c r="DN11" i="2"/>
  <c r="DN12" i="2"/>
  <c r="DN13" i="2"/>
  <c r="DN14" i="2"/>
  <c r="DN15" i="2"/>
  <c r="DN16" i="2"/>
  <c r="DN17" i="2"/>
  <c r="DN18" i="2"/>
  <c r="DN19" i="2"/>
  <c r="DN20" i="2"/>
  <c r="DN21" i="2"/>
  <c r="DN22" i="2"/>
  <c r="DN23" i="2"/>
  <c r="DN24" i="2"/>
  <c r="DN25" i="2"/>
  <c r="DN26" i="2"/>
  <c r="DN27" i="2"/>
  <c r="DN28" i="2"/>
  <c r="DN29" i="2"/>
  <c r="DN30" i="2"/>
  <c r="DN31" i="2"/>
  <c r="DN32" i="2"/>
  <c r="DN33" i="2"/>
  <c r="DN34" i="2"/>
  <c r="DN35" i="2"/>
  <c r="DN36" i="2"/>
  <c r="DN37" i="2"/>
  <c r="DN38" i="2"/>
  <c r="DN39" i="2"/>
  <c r="DN40" i="2"/>
  <c r="DN41" i="2"/>
  <c r="DN42" i="2"/>
  <c r="DN43" i="2"/>
  <c r="DN44" i="2"/>
  <c r="DN45" i="2"/>
  <c r="DN46" i="2"/>
  <c r="DN47" i="2"/>
  <c r="DN48" i="2"/>
  <c r="DN49" i="2"/>
  <c r="DN50" i="2"/>
  <c r="DN51" i="2"/>
  <c r="DN52" i="2"/>
  <c r="DN53" i="2"/>
  <c r="DN54" i="2"/>
  <c r="DN55" i="2"/>
  <c r="DN56" i="2"/>
  <c r="DN57" i="2"/>
  <c r="DN58" i="2"/>
  <c r="DN59" i="2"/>
  <c r="DN60" i="2"/>
  <c r="DN61" i="2"/>
  <c r="DN62" i="2"/>
  <c r="DN63" i="2"/>
  <c r="DN64" i="2"/>
  <c r="DN65" i="2"/>
  <c r="DN66" i="2"/>
  <c r="DN67" i="2"/>
  <c r="DN68" i="2"/>
  <c r="DN69" i="2"/>
  <c r="DN70" i="2"/>
  <c r="DN71" i="2"/>
  <c r="DN72" i="2"/>
  <c r="DN73" i="2"/>
  <c r="DN74" i="2"/>
  <c r="DN75" i="2"/>
  <c r="DN76" i="2"/>
  <c r="DN77" i="2"/>
  <c r="DN78" i="2"/>
  <c r="DN79" i="2"/>
  <c r="DN80" i="2"/>
  <c r="DN81" i="2"/>
  <c r="DN82" i="2"/>
  <c r="DN83" i="2"/>
  <c r="DN84" i="2"/>
  <c r="DN85" i="2"/>
  <c r="DN86" i="2"/>
  <c r="DN87" i="2"/>
  <c r="DN88" i="2"/>
  <c r="DN89" i="2"/>
  <c r="DN90" i="2"/>
  <c r="DN91" i="2"/>
  <c r="DN2" i="2"/>
  <c r="BJ3" i="2"/>
  <c r="BI3" i="2"/>
  <c r="BH3" i="2"/>
  <c r="BH4" i="2" s="1"/>
  <c r="BG3" i="2"/>
  <c r="BG4" i="2" s="1"/>
  <c r="BF3" i="2"/>
  <c r="BF4" i="2" s="1"/>
  <c r="BK7" i="2"/>
  <c r="BK13" i="2" s="1"/>
  <c r="BF7" i="2"/>
  <c r="BE7" i="2"/>
  <c r="BE13" i="2" s="1"/>
  <c r="BI7" i="2" l="1"/>
  <c r="BI4" i="2"/>
  <c r="BJ7" i="2"/>
  <c r="BJ4" i="2"/>
  <c r="BE16" i="2"/>
  <c r="BE19" i="2"/>
  <c r="BI13" i="2"/>
  <c r="BK16" i="2"/>
  <c r="BF13" i="2"/>
  <c r="BG7" i="2"/>
  <c r="BH7" i="2"/>
  <c r="BF16" i="2" l="1"/>
  <c r="BK22" i="2"/>
  <c r="BJ13" i="2"/>
  <c r="BI16" i="2"/>
  <c r="BG16" i="2"/>
  <c r="BH13" i="2"/>
  <c r="BE22" i="2"/>
  <c r="BE25" i="2" s="1"/>
  <c r="BG13" i="2"/>
  <c r="BK19" i="2"/>
  <c r="BG22" i="2" l="1"/>
  <c r="BE28" i="2"/>
  <c r="BH16" i="2"/>
  <c r="BI19" i="2"/>
  <c r="BJ19" i="2"/>
  <c r="BJ16" i="2"/>
  <c r="BK25" i="2"/>
  <c r="BF22" i="2"/>
  <c r="BG19" i="2"/>
  <c r="BF19" i="2"/>
  <c r="BJ22" i="2" l="1"/>
  <c r="BK28" i="2"/>
  <c r="BI22" i="2"/>
  <c r="BH22" i="2"/>
  <c r="BH19" i="2"/>
  <c r="BE34" i="2"/>
  <c r="BF25" i="2"/>
  <c r="BG28" i="2"/>
  <c r="BG25" i="2"/>
  <c r="BE31" i="2"/>
  <c r="BG34" i="2" l="1"/>
  <c r="BH25" i="2"/>
  <c r="BI25" i="2"/>
  <c r="BJ28" i="2"/>
  <c r="BK31" i="2"/>
  <c r="BE37" i="2"/>
  <c r="BF28" i="2"/>
  <c r="BG31" i="2"/>
  <c r="BJ25" i="2"/>
  <c r="BK34" i="2" l="1"/>
  <c r="BI28" i="2"/>
  <c r="BH31" i="2"/>
  <c r="BE40" i="2"/>
  <c r="BF31" i="2"/>
  <c r="BJ31" i="2"/>
  <c r="BG40" i="2"/>
  <c r="BG37" i="2"/>
  <c r="BH28" i="2"/>
  <c r="BG46" i="2" l="1"/>
  <c r="BJ37" i="2"/>
  <c r="BI31" i="2"/>
  <c r="BK37" i="2"/>
  <c r="BE43" i="2"/>
  <c r="BE46" i="2" s="1"/>
  <c r="BH34" i="2"/>
  <c r="BF34" i="2"/>
  <c r="BG43" i="2"/>
  <c r="BJ34" i="2"/>
  <c r="BK40" i="2" l="1"/>
  <c r="BI34" i="2"/>
  <c r="BH37" i="2"/>
  <c r="BF37" i="2"/>
  <c r="BJ40" i="2"/>
  <c r="BJ43" i="2" l="1"/>
  <c r="BJ46" i="2" s="1"/>
  <c r="BI37" i="2"/>
  <c r="BK43" i="2"/>
  <c r="BK46" i="2" s="1"/>
  <c r="BH40" i="2"/>
  <c r="BF40" i="2"/>
  <c r="BI40" i="2" l="1"/>
  <c r="BH43" i="2"/>
  <c r="BH46" i="2" s="1"/>
  <c r="BF43" i="2"/>
  <c r="BF46" i="2" s="1"/>
  <c r="BI43" i="2" l="1"/>
  <c r="BI46" i="2" s="1"/>
  <c r="BE3" i="2"/>
  <c r="BE4" i="2" s="1"/>
  <c r="BK3" i="2"/>
  <c r="BK4" i="2" s="1"/>
  <c r="BK9" i="2"/>
  <c r="Y73" i="2"/>
  <c r="Y71" i="2"/>
  <c r="W24" i="2"/>
  <c r="BI9" i="2"/>
  <c r="BG9" i="2"/>
  <c r="BH9" i="2"/>
  <c r="CP37" i="2"/>
  <c r="CP36" i="2"/>
  <c r="BF9" i="2"/>
  <c r="BJ9" i="2"/>
  <c r="BE9" i="2"/>
</calcChain>
</file>

<file path=xl/sharedStrings.xml><?xml version="1.0" encoding="utf-8"?>
<sst xmlns="http://schemas.openxmlformats.org/spreadsheetml/2006/main" count="671" uniqueCount="339">
  <si>
    <t xml:space="preserve">Genotype name </t>
  </si>
  <si>
    <t>PH(0)</t>
  </si>
  <si>
    <t>TN(0)</t>
  </si>
  <si>
    <t>LN(0)</t>
  </si>
  <si>
    <t>TLL(0)</t>
  </si>
  <si>
    <t>TLW(0)</t>
  </si>
  <si>
    <t>BLL(0)</t>
  </si>
  <si>
    <t>BLW(0)</t>
  </si>
  <si>
    <t>SFW(0)</t>
  </si>
  <si>
    <t>RFW(0)</t>
  </si>
  <si>
    <t>SDW(0)</t>
  </si>
  <si>
    <t>RDW(0)</t>
  </si>
  <si>
    <t>Photo(0)</t>
  </si>
  <si>
    <t>Cond(0)</t>
  </si>
  <si>
    <t>Ci(0)</t>
  </si>
  <si>
    <t>Trmmol(0)</t>
  </si>
  <si>
    <t>VpdL(0)</t>
  </si>
  <si>
    <t>CT(0)</t>
  </si>
  <si>
    <t>L(cm)(0)</t>
  </si>
  <si>
    <t>PA(cm2)(0)</t>
  </si>
  <si>
    <t>SA(cm2)(0)</t>
  </si>
  <si>
    <t>AD(mm)(0)</t>
  </si>
  <si>
    <t>LPV(cm/m3)(0)</t>
  </si>
  <si>
    <t>RV(cm3)(0)</t>
  </si>
  <si>
    <t>Tips(0)</t>
  </si>
  <si>
    <t>PH(30N)</t>
  </si>
  <si>
    <t>TN(30N)</t>
  </si>
  <si>
    <t>LN(30N)</t>
  </si>
  <si>
    <t>TLL(30N)</t>
  </si>
  <si>
    <t>BLL(30N)</t>
  </si>
  <si>
    <t>TFW(30N)</t>
  </si>
  <si>
    <t>BLW(30N)</t>
  </si>
  <si>
    <t>CCTL(30N)</t>
  </si>
  <si>
    <t>CCBL(30N)</t>
  </si>
  <si>
    <t>QYTL(30N)</t>
  </si>
  <si>
    <t>QYBL(30N)</t>
  </si>
  <si>
    <t>SFW(30N)</t>
  </si>
  <si>
    <t>SDW(30N)</t>
  </si>
  <si>
    <t>RFW(30N)</t>
  </si>
  <si>
    <t>RDW(30N)</t>
  </si>
  <si>
    <t>PH(30C)</t>
  </si>
  <si>
    <t>TN(30C)</t>
  </si>
  <si>
    <t>LN(30C)</t>
  </si>
  <si>
    <t>TLL(30C)</t>
  </si>
  <si>
    <t>BLL(30C)</t>
  </si>
  <si>
    <t>TFW(30C)</t>
  </si>
  <si>
    <t>BLW(30C)</t>
  </si>
  <si>
    <t>CCTL(30C)</t>
  </si>
  <si>
    <t>CCBL(30C)</t>
  </si>
  <si>
    <t>QYTL(30C)</t>
  </si>
  <si>
    <t>QYBL(30C)</t>
  </si>
  <si>
    <t>SFW(30C)</t>
  </si>
  <si>
    <t>SDW(30C)</t>
  </si>
  <si>
    <t>RFW(30C)</t>
  </si>
  <si>
    <t>RDW(30C)</t>
  </si>
  <si>
    <t>P(TL30N)</t>
  </si>
  <si>
    <t>Co(TL30N)</t>
  </si>
  <si>
    <t>Ci(TL30N)</t>
  </si>
  <si>
    <t>Tr(TL30N)</t>
  </si>
  <si>
    <t>VpdL(TL30N)</t>
  </si>
  <si>
    <t>CT(TL30N)</t>
  </si>
  <si>
    <t>P(BL30N)</t>
  </si>
  <si>
    <t>Co(BL30N)</t>
  </si>
  <si>
    <t>Ci(BL30N)</t>
  </si>
  <si>
    <t>Tr(BL30N)</t>
  </si>
  <si>
    <t>VpdL(BL30N)</t>
  </si>
  <si>
    <t>CT(BL30N)</t>
  </si>
  <si>
    <t>P(TL30C)</t>
  </si>
  <si>
    <t>Co(TL30C)</t>
  </si>
  <si>
    <t>Ci(TL30C)</t>
  </si>
  <si>
    <t>Tr(TL30C)</t>
  </si>
  <si>
    <t>VpdL(TL30C)</t>
  </si>
  <si>
    <t>CT(TL30C)</t>
  </si>
  <si>
    <t>P(BL30C)</t>
  </si>
  <si>
    <t>Co(BL30C)</t>
  </si>
  <si>
    <t>Ci(BL30C)</t>
  </si>
  <si>
    <t>Tr(BL30C)</t>
  </si>
  <si>
    <t>VpdL(BL30C)</t>
  </si>
  <si>
    <t>CT(BL30C)</t>
  </si>
  <si>
    <t>L(cm)(30N)</t>
  </si>
  <si>
    <t>PA(cm2)(30N)</t>
  </si>
  <si>
    <t>SA(cm2)(30N)</t>
  </si>
  <si>
    <t>AD(mm)(30N)</t>
  </si>
  <si>
    <t>LPV(cm/m3)(30N)</t>
  </si>
  <si>
    <t>RV(cm3)(30N)</t>
  </si>
  <si>
    <t>Tips(30N)</t>
  </si>
  <si>
    <t>L(cm)(30C)</t>
  </si>
  <si>
    <t>PA(cm2)(30C)</t>
  </si>
  <si>
    <t>SA(cm2)(30C)</t>
  </si>
  <si>
    <t>AD(mm)(30C)</t>
  </si>
  <si>
    <t>LPV(cm/m3)(30C)</t>
  </si>
  <si>
    <t>RV(cm3)(30C)</t>
  </si>
  <si>
    <t>Tips(30C)</t>
  </si>
  <si>
    <t>PH(60N)</t>
  </si>
  <si>
    <t>TN(60N)</t>
  </si>
  <si>
    <t>LN(60N)</t>
  </si>
  <si>
    <t>TLL(60N)</t>
  </si>
  <si>
    <t>BLL(60N)</t>
  </si>
  <si>
    <t>TFW(60N)</t>
  </si>
  <si>
    <t>BLW(60N)</t>
  </si>
  <si>
    <t>CCTL(60N)</t>
  </si>
  <si>
    <t>CCBL(60N)</t>
  </si>
  <si>
    <t>QYTL(60N)</t>
  </si>
  <si>
    <t>QYBL(60N)</t>
  </si>
  <si>
    <t>SFW(60N)</t>
  </si>
  <si>
    <t>SDW(60N)</t>
  </si>
  <si>
    <t>RFW(60N)</t>
  </si>
  <si>
    <t>RDW(60N)</t>
  </si>
  <si>
    <t>PH(60C)</t>
  </si>
  <si>
    <t>TN(60C)</t>
  </si>
  <si>
    <t>LN(60C)</t>
  </si>
  <si>
    <t>TLL(60C)</t>
  </si>
  <si>
    <t>BLL(60C)</t>
  </si>
  <si>
    <t>TFW(60C)</t>
  </si>
  <si>
    <t>BLW(60C)</t>
  </si>
  <si>
    <t>CCTL(60C)</t>
  </si>
  <si>
    <t>CCBL(60C)</t>
  </si>
  <si>
    <t>QYTL(60C)</t>
  </si>
  <si>
    <t>QYBL(60C)</t>
  </si>
  <si>
    <t>SFW(60C)</t>
  </si>
  <si>
    <t>SDW(60C)</t>
  </si>
  <si>
    <t>RFW(60C)</t>
  </si>
  <si>
    <t>RDW(60C)</t>
  </si>
  <si>
    <t>P(TL60C)</t>
  </si>
  <si>
    <t>Co(TL60C))</t>
  </si>
  <si>
    <t>Ci(TL60C)</t>
  </si>
  <si>
    <t>Tr(TL60C)</t>
  </si>
  <si>
    <t>VpdL(TL60C)</t>
  </si>
  <si>
    <t>CT(TL60C)</t>
  </si>
  <si>
    <t>P(BL60C)</t>
  </si>
  <si>
    <t>Co(BL60C)</t>
  </si>
  <si>
    <t>Ci(BL60C)</t>
  </si>
  <si>
    <t>Tr(BL60C)</t>
  </si>
  <si>
    <t>VpdL(BL60C)</t>
  </si>
  <si>
    <t>CT(BL60C)</t>
  </si>
  <si>
    <t>P(TL60N)</t>
  </si>
  <si>
    <t>Co(TL60N)</t>
  </si>
  <si>
    <t>Ci(TL60N)</t>
  </si>
  <si>
    <t>Tr(TL60N)</t>
  </si>
  <si>
    <t>VpdL(TL60N)</t>
  </si>
  <si>
    <t>CT(TL60N)</t>
  </si>
  <si>
    <t>P(BL60N)</t>
  </si>
  <si>
    <t>Co(BL60N)</t>
  </si>
  <si>
    <t>Ci(BL60N)</t>
  </si>
  <si>
    <t>Tr(BL60N)</t>
  </si>
  <si>
    <t>VpdL(BL60N)</t>
  </si>
  <si>
    <t>CT(BL60N)</t>
  </si>
  <si>
    <t>L(cm)(60C)</t>
  </si>
  <si>
    <t>PA(cm2)(60C)</t>
  </si>
  <si>
    <t>SA(cm2)(60C)</t>
  </si>
  <si>
    <t>AD(mm)(60C)</t>
  </si>
  <si>
    <t>LPV(cm/m3)(60C)</t>
  </si>
  <si>
    <t>RV(cm3)(60C)</t>
  </si>
  <si>
    <t>Tips(60C)</t>
  </si>
  <si>
    <t>L(cm)(60N)</t>
  </si>
  <si>
    <t>PA(cm2)(60N)</t>
  </si>
  <si>
    <t>SA(cm2)(60N)</t>
  </si>
  <si>
    <t>AD(mm)(60N)</t>
  </si>
  <si>
    <t>LPV(cm/m3)(60N)</t>
  </si>
  <si>
    <t>RV(cm3)(60N)</t>
  </si>
  <si>
    <t>Tips(60N)</t>
  </si>
  <si>
    <t>FLL(N)</t>
  </si>
  <si>
    <t>FLW(N)</t>
  </si>
  <si>
    <t>CCI-FL(N)</t>
  </si>
  <si>
    <t>QYFL(N)</t>
  </si>
  <si>
    <t>FLL(C)</t>
  </si>
  <si>
    <t>FLW(C)</t>
  </si>
  <si>
    <t>CCI-FL(C)</t>
  </si>
  <si>
    <t>QYFL(C)</t>
  </si>
  <si>
    <t>P(FL-C)</t>
  </si>
  <si>
    <t>Co(FL-C)</t>
  </si>
  <si>
    <t>Ci(FL-C)</t>
  </si>
  <si>
    <t>Tr(FL-C)</t>
  </si>
  <si>
    <t>VpdL(FL-C)</t>
  </si>
  <si>
    <t>CT(FL-C)</t>
  </si>
  <si>
    <t>P(FL-N)</t>
  </si>
  <si>
    <t>Co(FL-N)</t>
  </si>
  <si>
    <t>Ci(FL-N)</t>
  </si>
  <si>
    <t>Tr(FL-N)</t>
  </si>
  <si>
    <t>VpdL(FL-N)</t>
  </si>
  <si>
    <t>CT(FL-N)</t>
  </si>
  <si>
    <t>DTB(N)</t>
  </si>
  <si>
    <t>DTH(N)</t>
  </si>
  <si>
    <t>DTM(N)</t>
  </si>
  <si>
    <t>DTB(C)</t>
  </si>
  <si>
    <t>DTH(C)</t>
  </si>
  <si>
    <t>DTM(C)</t>
  </si>
  <si>
    <t>PH(MC)</t>
  </si>
  <si>
    <t>TN(MC)</t>
  </si>
  <si>
    <t>PT(MC)</t>
  </si>
  <si>
    <t>SFW(MC)</t>
  </si>
  <si>
    <t>SDW(MC)</t>
  </si>
  <si>
    <t>GW/P©</t>
  </si>
  <si>
    <t>1000 GWT©</t>
  </si>
  <si>
    <t>PH(MN)</t>
  </si>
  <si>
    <t>TN(MN)</t>
  </si>
  <si>
    <t>PT(MN)</t>
  </si>
  <si>
    <t>SFW(MN)</t>
  </si>
  <si>
    <t>SDW(MN)</t>
  </si>
  <si>
    <t>GW/P(N)</t>
  </si>
  <si>
    <t>1000 GWT(N)</t>
  </si>
  <si>
    <t>japonica</t>
  </si>
  <si>
    <t>MOROBEREKAN</t>
  </si>
  <si>
    <t>Indica</t>
  </si>
  <si>
    <t>IR83388-B-B108-3</t>
  </si>
  <si>
    <t>IR77298-14-1-2-10</t>
  </si>
  <si>
    <t>Basmati</t>
  </si>
  <si>
    <t>PUSA1121</t>
  </si>
  <si>
    <t>BAM8315</t>
  </si>
  <si>
    <t>BAM812</t>
  </si>
  <si>
    <t>Aus</t>
  </si>
  <si>
    <t>MALCHI</t>
  </si>
  <si>
    <t>BAM3690</t>
  </si>
  <si>
    <t>BAM4138</t>
  </si>
  <si>
    <t>BAM4521</t>
  </si>
  <si>
    <t>BLACK GORA</t>
  </si>
  <si>
    <t>SUWEON</t>
  </si>
  <si>
    <t>KUNJUKUNJU</t>
  </si>
  <si>
    <t>CAUVERY</t>
  </si>
  <si>
    <t>RPW-9-(SS1)</t>
  </si>
  <si>
    <t>TTT</t>
  </si>
  <si>
    <t>Rep</t>
  </si>
  <si>
    <t>Control</t>
  </si>
  <si>
    <t>NStress</t>
  </si>
  <si>
    <t>Treatment</t>
  </si>
  <si>
    <t>PH_0</t>
  </si>
  <si>
    <t>G.ID</t>
  </si>
  <si>
    <t>Ci_TL_30</t>
  </si>
  <si>
    <t>Tr_TL_30</t>
  </si>
  <si>
    <t>CT_TL_30</t>
  </si>
  <si>
    <t>RV_30</t>
  </si>
  <si>
    <t>LPV_30</t>
  </si>
  <si>
    <t>AD_30</t>
  </si>
  <si>
    <t>SA_30</t>
  </si>
  <si>
    <t>PA_30</t>
  </si>
  <si>
    <t>CT_BL_30</t>
  </si>
  <si>
    <t>Tr_BL_30</t>
  </si>
  <si>
    <t>Ci_BL_30</t>
  </si>
  <si>
    <t>RDW_30</t>
  </si>
  <si>
    <t>RFW_30</t>
  </si>
  <si>
    <t>SDW_30C</t>
  </si>
  <si>
    <t>SFW_30</t>
  </si>
  <si>
    <t>QY_BL_30</t>
  </si>
  <si>
    <t>QY_TL_30</t>
  </si>
  <si>
    <t>BLW_30</t>
  </si>
  <si>
    <t>TLW_30</t>
  </si>
  <si>
    <t>BLL_30</t>
  </si>
  <si>
    <t>TLL_30</t>
  </si>
  <si>
    <t>LN_30</t>
  </si>
  <si>
    <t>TN_30</t>
  </si>
  <si>
    <t>PH_30</t>
  </si>
  <si>
    <t>TPS_30</t>
  </si>
  <si>
    <t>PH_60</t>
  </si>
  <si>
    <t>TN_60</t>
  </si>
  <si>
    <t>LN_60</t>
  </si>
  <si>
    <t>TLL_60</t>
  </si>
  <si>
    <t>BLL_60</t>
  </si>
  <si>
    <t>TLW_60</t>
  </si>
  <si>
    <t>BLW_60</t>
  </si>
  <si>
    <t>CC_TL_60</t>
  </si>
  <si>
    <t>QY_TL_60</t>
  </si>
  <si>
    <t>QY_BL_60</t>
  </si>
  <si>
    <t>SFW_60</t>
  </si>
  <si>
    <t>SDW_60C</t>
  </si>
  <si>
    <t>RFW_60</t>
  </si>
  <si>
    <t>RDW_60</t>
  </si>
  <si>
    <t>TN_0</t>
  </si>
  <si>
    <t>LN_0</t>
  </si>
  <si>
    <t>TLL_0</t>
  </si>
  <si>
    <t>TLW_0</t>
  </si>
  <si>
    <t>BLL_0</t>
  </si>
  <si>
    <t>BLW_0</t>
  </si>
  <si>
    <t>SFW_0</t>
  </si>
  <si>
    <t>RFW_0</t>
  </si>
  <si>
    <t>SDW_0</t>
  </si>
  <si>
    <t>RDW_0</t>
  </si>
  <si>
    <t>Cond_0</t>
  </si>
  <si>
    <t>Ci_0</t>
  </si>
  <si>
    <t>CT_0</t>
  </si>
  <si>
    <t>RL_0</t>
  </si>
  <si>
    <t>PA_0</t>
  </si>
  <si>
    <t>SA_0</t>
  </si>
  <si>
    <t>AD_0</t>
  </si>
  <si>
    <t>LPV_0</t>
  </si>
  <si>
    <t>RV_0</t>
  </si>
  <si>
    <t>CC_BL_60</t>
  </si>
  <si>
    <t>P_TL_60</t>
  </si>
  <si>
    <t>Co_TL_60</t>
  </si>
  <si>
    <t>Ci_TL_60</t>
  </si>
  <si>
    <t>Tr_TL_60</t>
  </si>
  <si>
    <t>VpdL_TL_60</t>
  </si>
  <si>
    <t>CT_TL_60</t>
  </si>
  <si>
    <t>P_BL_60</t>
  </si>
  <si>
    <t>Co_BL_60</t>
  </si>
  <si>
    <t>Ci_BL_60</t>
  </si>
  <si>
    <t>Tr_BL_60</t>
  </si>
  <si>
    <t>VpdL_BL_60</t>
  </si>
  <si>
    <t>CT_BL_60</t>
  </si>
  <si>
    <t>PA_60</t>
  </si>
  <si>
    <t>SA_60</t>
  </si>
  <si>
    <t>AD_60</t>
  </si>
  <si>
    <t>LPV_60</t>
  </si>
  <si>
    <t>RV_60</t>
  </si>
  <si>
    <t>TPS_60</t>
  </si>
  <si>
    <t>FLL_C</t>
  </si>
  <si>
    <t>FLW_C</t>
  </si>
  <si>
    <t>CCI_FL</t>
  </si>
  <si>
    <t>QY_FL</t>
  </si>
  <si>
    <t>Ci_FL</t>
  </si>
  <si>
    <t>Tr_FL</t>
  </si>
  <si>
    <t>CT_FL</t>
  </si>
  <si>
    <t>DTB</t>
  </si>
  <si>
    <t>DTH</t>
  </si>
  <si>
    <t>GWPP</t>
  </si>
  <si>
    <t>TGW</t>
  </si>
  <si>
    <t>SDW</t>
  </si>
  <si>
    <t>SFW</t>
  </si>
  <si>
    <t>PT</t>
  </si>
  <si>
    <t>TN</t>
  </si>
  <si>
    <t>PH</t>
  </si>
  <si>
    <t>Photo_0</t>
  </si>
  <si>
    <t>Tr_0</t>
  </si>
  <si>
    <t>Vpd_0</t>
  </si>
  <si>
    <t>TPS_0</t>
  </si>
  <si>
    <t>CCI_TL_30</t>
  </si>
  <si>
    <t>CCI_BL_30</t>
  </si>
  <si>
    <t>Photo_TL_30</t>
  </si>
  <si>
    <t>Cond_TL_30</t>
  </si>
  <si>
    <t>Vpd_TL_30</t>
  </si>
  <si>
    <t>Photo_BL_30</t>
  </si>
  <si>
    <t>Cond_BL_30</t>
  </si>
  <si>
    <t>Vpd_BL_30</t>
  </si>
  <si>
    <t>RL_30</t>
  </si>
  <si>
    <t>HI</t>
  </si>
  <si>
    <t>STW</t>
  </si>
  <si>
    <t>RL_60</t>
  </si>
  <si>
    <t>Cond_FL</t>
  </si>
  <si>
    <t>Photo_FL</t>
  </si>
  <si>
    <t>Vpd_FL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</si>
</sst>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2" fontId="5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/>
    <xf numFmtId="2" fontId="5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EAD6-3B25-469B-A3FA-4CB544FD55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2C98-D2A7-47B1-80DD-D59ECE8B589F}">
  <dimension ref="A1:DO92"/>
  <sheetViews>
    <sheetView tabSelected="1" zoomScale="70" zoomScaleNormal="70" workbookViewId="0">
      <pane xSplit="5" topLeftCell="F1" activePane="topRight" state="frozen"/>
      <selection pane="topRight" activeCell="G14" sqref="G14"/>
    </sheetView>
  </sheetViews>
  <sheetFormatPr defaultRowHeight="15.75" x14ac:dyDescent="0.25"/>
  <cols>
    <col min="1" max="2" width="9.140625" style="10"/>
    <col min="3" max="4" width="28.140625" style="16" customWidth="1"/>
    <col min="5" max="5" width="60.85546875" style="17" customWidth="1"/>
    <col min="6" max="6" width="14.140625" style="10" customWidth="1"/>
    <col min="7" max="8" width="9.28515625" style="10" bestFit="1" customWidth="1"/>
    <col min="9" max="9" width="14.5703125" style="10" customWidth="1"/>
    <col min="10" max="10" width="13" style="10" customWidth="1"/>
    <col min="11" max="18" width="9.28515625" style="10" bestFit="1" customWidth="1"/>
    <col min="19" max="19" width="10" style="10" bestFit="1" customWidth="1"/>
    <col min="20" max="21" width="9.28515625" style="10" bestFit="1" customWidth="1"/>
    <col min="22" max="22" width="12.140625" style="10" customWidth="1"/>
    <col min="23" max="23" width="10" style="10" bestFit="1" customWidth="1"/>
    <col min="24" max="26" width="9.28515625" style="10" bestFit="1" customWidth="1"/>
    <col min="27" max="27" width="10" style="10" bestFit="1" customWidth="1"/>
    <col min="28" max="28" width="9.28515625" style="10" bestFit="1" customWidth="1"/>
    <col min="29" max="29" width="11.28515625" style="10" bestFit="1" customWidth="1"/>
    <col min="30" max="36" width="9.28515625" style="10" bestFit="1" customWidth="1"/>
    <col min="37" max="38" width="10" style="10" bestFit="1" customWidth="1"/>
    <col min="39" max="44" width="9.28515625" style="10" bestFit="1" customWidth="1"/>
    <col min="45" max="45" width="18.7109375" style="10" customWidth="1"/>
    <col min="46" max="46" width="18" style="10" customWidth="1"/>
    <col min="47" max="47" width="16.140625" style="10" customWidth="1"/>
    <col min="48" max="48" width="17.85546875" style="10" customWidth="1"/>
    <col min="49" max="49" width="15.85546875" style="10" customWidth="1"/>
    <col min="50" max="50" width="19.140625" style="10" customWidth="1"/>
    <col min="51" max="52" width="9.28515625" style="10" bestFit="1" customWidth="1"/>
    <col min="53" max="53" width="10" style="10" bestFit="1" customWidth="1"/>
    <col min="54" max="54" width="12.140625" style="10" customWidth="1"/>
    <col min="55" max="55" width="15.5703125" style="10" customWidth="1"/>
    <col min="56" max="56" width="13" style="10" customWidth="1"/>
    <col min="57" max="57" width="23.28515625" style="10" customWidth="1"/>
    <col min="58" max="58" width="9.28515625" style="10" bestFit="1" customWidth="1"/>
    <col min="59" max="59" width="10" style="10" bestFit="1" customWidth="1"/>
    <col min="60" max="60" width="9.28515625" style="10" bestFit="1" customWidth="1"/>
    <col min="61" max="61" width="10" style="10" bestFit="1" customWidth="1"/>
    <col min="62" max="62" width="16.7109375" style="10" customWidth="1"/>
    <col min="63" max="63" width="11.28515625" style="10" bestFit="1" customWidth="1"/>
    <col min="64" max="64" width="9.42578125" style="10" bestFit="1" customWidth="1"/>
    <col min="65" max="65" width="9.28515625" style="10" bestFit="1" customWidth="1"/>
    <col min="66" max="66" width="9.42578125" style="10" bestFit="1" customWidth="1"/>
    <col min="67" max="69" width="9.28515625" style="10" bestFit="1" customWidth="1"/>
    <col min="70" max="70" width="13.7109375" style="10" customWidth="1"/>
    <col min="71" max="71" width="10" style="10" bestFit="1" customWidth="1"/>
    <col min="72" max="72" width="13.85546875" style="10" customWidth="1"/>
    <col min="73" max="73" width="14.5703125" style="10" customWidth="1"/>
    <col min="74" max="74" width="9.42578125" style="10" customWidth="1"/>
    <col min="75" max="75" width="9.28515625" style="10" bestFit="1" customWidth="1"/>
    <col min="76" max="76" width="7" style="10" customWidth="1"/>
    <col min="77" max="78" width="9.28515625" style="10" bestFit="1" customWidth="1"/>
    <col min="79" max="79" width="12.85546875" style="10" customWidth="1"/>
    <col min="80" max="80" width="14" style="10" customWidth="1"/>
    <col min="81" max="81" width="11.5703125" style="10" customWidth="1"/>
    <col min="82" max="82" width="11.7109375" style="10" customWidth="1"/>
    <col min="83" max="83" width="10.28515625" style="10" customWidth="1"/>
    <col min="84" max="84" width="10.7109375" style="10" customWidth="1"/>
    <col min="85" max="85" width="9.7109375" style="10" customWidth="1"/>
    <col min="86" max="86" width="9.5703125" style="10" customWidth="1"/>
    <col min="87" max="87" width="9.140625" style="10" customWidth="1"/>
    <col min="88" max="88" width="10.28515625" style="10" customWidth="1"/>
    <col min="89" max="90" width="9.7109375" style="10" customWidth="1"/>
    <col min="91" max="91" width="12.85546875" style="10" customWidth="1"/>
    <col min="92" max="92" width="13.140625" style="10" customWidth="1"/>
    <col min="93" max="93" width="14" style="10" customWidth="1"/>
    <col min="94" max="94" width="11.28515625" style="10" customWidth="1"/>
    <col min="95" max="95" width="13.7109375" style="10" customWidth="1"/>
    <col min="96" max="96" width="14.140625" style="10" customWidth="1"/>
    <col min="97" max="97" width="13.42578125" style="10" customWidth="1"/>
    <col min="98" max="98" width="9.28515625" style="10" bestFit="1" customWidth="1"/>
    <col min="99" max="99" width="11.28515625" style="10" customWidth="1"/>
    <col min="100" max="100" width="12" style="10" customWidth="1"/>
    <col min="101" max="103" width="9.28515625" style="10" bestFit="1" customWidth="1"/>
    <col min="104" max="104" width="10" style="10" bestFit="1" customWidth="1"/>
    <col min="105" max="109" width="9.28515625" style="10" bestFit="1" customWidth="1"/>
    <col min="110" max="111" width="9.42578125" style="10" bestFit="1" customWidth="1"/>
    <col min="112" max="114" width="9.28515625" style="10" bestFit="1" customWidth="1"/>
    <col min="115" max="115" width="20.140625" style="10" customWidth="1"/>
    <col min="116" max="119" width="9.28515625" style="10" bestFit="1" customWidth="1"/>
    <col min="120" max="16384" width="9.140625" style="10"/>
  </cols>
  <sheetData>
    <row r="1" spans="1:119" x14ac:dyDescent="0.25">
      <c r="A1" s="12"/>
      <c r="B1" s="12" t="s">
        <v>226</v>
      </c>
      <c r="C1" s="8" t="s">
        <v>0</v>
      </c>
      <c r="D1" s="8" t="s">
        <v>224</v>
      </c>
      <c r="E1" s="8" t="s">
        <v>221</v>
      </c>
      <c r="F1" s="8" t="s">
        <v>225</v>
      </c>
      <c r="G1" s="8" t="s">
        <v>266</v>
      </c>
      <c r="H1" s="8" t="s">
        <v>267</v>
      </c>
      <c r="I1" s="8" t="s">
        <v>268</v>
      </c>
      <c r="J1" s="8" t="s">
        <v>269</v>
      </c>
      <c r="K1" s="8" t="s">
        <v>270</v>
      </c>
      <c r="L1" s="8" t="s">
        <v>271</v>
      </c>
      <c r="M1" s="8" t="s">
        <v>272</v>
      </c>
      <c r="N1" s="8" t="s">
        <v>273</v>
      </c>
      <c r="O1" s="8" t="s">
        <v>274</v>
      </c>
      <c r="P1" s="8" t="s">
        <v>275</v>
      </c>
      <c r="Q1" s="8" t="s">
        <v>320</v>
      </c>
      <c r="R1" s="8" t="s">
        <v>276</v>
      </c>
      <c r="S1" s="8" t="s">
        <v>277</v>
      </c>
      <c r="T1" s="8" t="s">
        <v>321</v>
      </c>
      <c r="U1" s="8" t="s">
        <v>322</v>
      </c>
      <c r="V1" s="8" t="s">
        <v>278</v>
      </c>
      <c r="W1" s="8" t="s">
        <v>279</v>
      </c>
      <c r="X1" s="8" t="s">
        <v>280</v>
      </c>
      <c r="Y1" s="8" t="s">
        <v>281</v>
      </c>
      <c r="Z1" s="8" t="s">
        <v>282</v>
      </c>
      <c r="AA1" s="8" t="s">
        <v>283</v>
      </c>
      <c r="AB1" s="8" t="s">
        <v>284</v>
      </c>
      <c r="AC1" s="8" t="s">
        <v>323</v>
      </c>
      <c r="AD1" s="8" t="s">
        <v>250</v>
      </c>
      <c r="AE1" s="8" t="s">
        <v>249</v>
      </c>
      <c r="AF1" s="8" t="s">
        <v>248</v>
      </c>
      <c r="AG1" s="8" t="s">
        <v>247</v>
      </c>
      <c r="AH1" s="8" t="s">
        <v>246</v>
      </c>
      <c r="AI1" s="8" t="s">
        <v>245</v>
      </c>
      <c r="AJ1" s="8" t="s">
        <v>244</v>
      </c>
      <c r="AK1" s="8" t="s">
        <v>324</v>
      </c>
      <c r="AL1" s="8" t="s">
        <v>325</v>
      </c>
      <c r="AM1" s="8" t="s">
        <v>243</v>
      </c>
      <c r="AN1" s="8" t="s">
        <v>242</v>
      </c>
      <c r="AO1" s="8" t="s">
        <v>241</v>
      </c>
      <c r="AP1" s="8" t="s">
        <v>240</v>
      </c>
      <c r="AQ1" s="8" t="s">
        <v>239</v>
      </c>
      <c r="AR1" s="8" t="s">
        <v>238</v>
      </c>
      <c r="AS1" s="8" t="s">
        <v>326</v>
      </c>
      <c r="AT1" s="8" t="s">
        <v>327</v>
      </c>
      <c r="AU1" s="8" t="s">
        <v>227</v>
      </c>
      <c r="AV1" s="8" t="s">
        <v>228</v>
      </c>
      <c r="AW1" s="8" t="s">
        <v>328</v>
      </c>
      <c r="AX1" s="8" t="s">
        <v>229</v>
      </c>
      <c r="AY1" s="8" t="s">
        <v>329</v>
      </c>
      <c r="AZ1" s="8" t="s">
        <v>330</v>
      </c>
      <c r="BA1" s="8" t="s">
        <v>237</v>
      </c>
      <c r="BB1" s="8" t="s">
        <v>236</v>
      </c>
      <c r="BC1" s="8" t="s">
        <v>331</v>
      </c>
      <c r="BD1" s="8" t="s">
        <v>235</v>
      </c>
      <c r="BE1" s="8" t="s">
        <v>332</v>
      </c>
      <c r="BF1" s="8" t="s">
        <v>234</v>
      </c>
      <c r="BG1" s="8" t="s">
        <v>233</v>
      </c>
      <c r="BH1" s="8" t="s">
        <v>232</v>
      </c>
      <c r="BI1" s="8" t="s">
        <v>231</v>
      </c>
      <c r="BJ1" s="8" t="s">
        <v>230</v>
      </c>
      <c r="BK1" s="8" t="s">
        <v>251</v>
      </c>
      <c r="BL1" s="8" t="s">
        <v>252</v>
      </c>
      <c r="BM1" s="8" t="s">
        <v>253</v>
      </c>
      <c r="BN1" s="8" t="s">
        <v>254</v>
      </c>
      <c r="BO1" s="8" t="s">
        <v>255</v>
      </c>
      <c r="BP1" s="8" t="s">
        <v>256</v>
      </c>
      <c r="BQ1" s="8" t="s">
        <v>257</v>
      </c>
      <c r="BR1" s="8" t="s">
        <v>258</v>
      </c>
      <c r="BS1" s="8" t="s">
        <v>259</v>
      </c>
      <c r="BT1" s="8" t="s">
        <v>285</v>
      </c>
      <c r="BU1" s="8" t="s">
        <v>260</v>
      </c>
      <c r="BV1" s="8" t="s">
        <v>261</v>
      </c>
      <c r="BW1" s="8" t="s">
        <v>262</v>
      </c>
      <c r="BX1" s="8" t="s">
        <v>263</v>
      </c>
      <c r="BY1" s="8" t="s">
        <v>264</v>
      </c>
      <c r="BZ1" s="8" t="s">
        <v>265</v>
      </c>
      <c r="CA1" s="13" t="s">
        <v>286</v>
      </c>
      <c r="CB1" s="13" t="s">
        <v>287</v>
      </c>
      <c r="CC1" s="13" t="s">
        <v>288</v>
      </c>
      <c r="CD1" s="13" t="s">
        <v>289</v>
      </c>
      <c r="CE1" s="13" t="s">
        <v>290</v>
      </c>
      <c r="CF1" s="13" t="s">
        <v>291</v>
      </c>
      <c r="CG1" s="8" t="s">
        <v>292</v>
      </c>
      <c r="CH1" s="8" t="s">
        <v>293</v>
      </c>
      <c r="CI1" s="8" t="s">
        <v>294</v>
      </c>
      <c r="CJ1" s="8" t="s">
        <v>295</v>
      </c>
      <c r="CK1" s="8" t="s">
        <v>296</v>
      </c>
      <c r="CL1" s="8" t="s">
        <v>297</v>
      </c>
      <c r="CM1" s="8" t="s">
        <v>335</v>
      </c>
      <c r="CN1" s="8" t="s">
        <v>298</v>
      </c>
      <c r="CO1" s="12" t="s">
        <v>299</v>
      </c>
      <c r="CP1" s="8" t="s">
        <v>300</v>
      </c>
      <c r="CQ1" s="8" t="s">
        <v>301</v>
      </c>
      <c r="CR1" s="8" t="s">
        <v>302</v>
      </c>
      <c r="CS1" s="8" t="s">
        <v>303</v>
      </c>
      <c r="CT1" s="8" t="s">
        <v>304</v>
      </c>
      <c r="CU1" s="8" t="s">
        <v>305</v>
      </c>
      <c r="CV1" s="8" t="s">
        <v>306</v>
      </c>
      <c r="CW1" s="8" t="s">
        <v>307</v>
      </c>
      <c r="CX1" s="13" t="s">
        <v>337</v>
      </c>
      <c r="CY1" s="13" t="s">
        <v>336</v>
      </c>
      <c r="CZ1" s="13" t="s">
        <v>308</v>
      </c>
      <c r="DA1" s="13" t="s">
        <v>309</v>
      </c>
      <c r="DB1" s="13" t="s">
        <v>338</v>
      </c>
      <c r="DC1" s="13" t="s">
        <v>310</v>
      </c>
      <c r="DD1" s="8" t="s">
        <v>311</v>
      </c>
      <c r="DE1" s="8" t="s">
        <v>312</v>
      </c>
      <c r="DF1" s="8" t="s">
        <v>186</v>
      </c>
      <c r="DG1" s="8" t="s">
        <v>319</v>
      </c>
      <c r="DH1" s="8" t="s">
        <v>318</v>
      </c>
      <c r="DI1" s="8" t="s">
        <v>317</v>
      </c>
      <c r="DJ1" s="8" t="s">
        <v>316</v>
      </c>
      <c r="DK1" s="8" t="s">
        <v>315</v>
      </c>
      <c r="DL1" s="8" t="s">
        <v>313</v>
      </c>
      <c r="DM1" s="8" t="s">
        <v>314</v>
      </c>
      <c r="DN1" s="8" t="s">
        <v>334</v>
      </c>
      <c r="DO1" s="8" t="s">
        <v>333</v>
      </c>
    </row>
    <row r="2" spans="1:119" x14ac:dyDescent="0.25">
      <c r="A2" s="12">
        <v>1</v>
      </c>
      <c r="B2" s="12">
        <v>1</v>
      </c>
      <c r="C2" s="14" t="s">
        <v>202</v>
      </c>
      <c r="D2" s="8" t="s">
        <v>222</v>
      </c>
      <c r="E2" s="8">
        <v>1</v>
      </c>
      <c r="F2" s="9">
        <v>33.200000000000003</v>
      </c>
      <c r="G2" s="9">
        <v>0</v>
      </c>
      <c r="H2" s="9">
        <v>4</v>
      </c>
      <c r="I2" s="9">
        <v>22.2</v>
      </c>
      <c r="J2" s="9">
        <v>0.35</v>
      </c>
      <c r="K2" s="9">
        <v>21.8</v>
      </c>
      <c r="L2" s="9">
        <v>0.2</v>
      </c>
      <c r="M2" s="9">
        <v>0.42399999999999999</v>
      </c>
      <c r="N2" s="9">
        <v>0.215</v>
      </c>
      <c r="O2" s="9">
        <v>0.16500000000000001</v>
      </c>
      <c r="P2" s="9">
        <v>9.5000000000000001E-2</v>
      </c>
      <c r="Q2" s="9">
        <v>11.628212597645494</v>
      </c>
      <c r="R2" s="9">
        <v>0.27019949868368509</v>
      </c>
      <c r="S2" s="9">
        <v>244.86337763993492</v>
      </c>
      <c r="T2" s="9">
        <v>4.529587963959778</v>
      </c>
      <c r="U2" s="9">
        <v>1.6651233391861004</v>
      </c>
      <c r="V2" s="9">
        <v>29.83372688293457</v>
      </c>
      <c r="W2" s="9">
        <v>135.56309999999999</v>
      </c>
      <c r="X2" s="9">
        <v>5.8338999999999999</v>
      </c>
      <c r="Y2" s="9">
        <v>18.3279</v>
      </c>
      <c r="Z2" s="9">
        <v>0.43030000000000002</v>
      </c>
      <c r="AA2" s="9">
        <v>135.56309999999999</v>
      </c>
      <c r="AB2" s="9">
        <v>0.19700000000000001</v>
      </c>
      <c r="AC2" s="9">
        <v>595</v>
      </c>
      <c r="AD2" s="9">
        <v>59.6</v>
      </c>
      <c r="AE2" s="9">
        <v>9</v>
      </c>
      <c r="AF2" s="9">
        <v>28</v>
      </c>
      <c r="AG2" s="9">
        <v>40.299999999999997</v>
      </c>
      <c r="AH2" s="9">
        <v>32.1</v>
      </c>
      <c r="AI2" s="9">
        <v>0.9</v>
      </c>
      <c r="AJ2" s="9">
        <v>0.6</v>
      </c>
      <c r="AK2" s="9">
        <v>345.1</v>
      </c>
      <c r="AL2" s="9">
        <v>336.5</v>
      </c>
      <c r="AM2" s="9">
        <v>0.85</v>
      </c>
      <c r="AN2" s="9">
        <v>0.82</v>
      </c>
      <c r="AO2" s="9">
        <v>14.51</v>
      </c>
      <c r="AP2" s="9">
        <v>6.782</v>
      </c>
      <c r="AQ2" s="9">
        <v>5.101</v>
      </c>
      <c r="AR2" s="9">
        <v>1.657</v>
      </c>
      <c r="AS2" s="9">
        <v>21.52896778908076</v>
      </c>
      <c r="AT2" s="9">
        <v>3.2787788830167072E-2</v>
      </c>
      <c r="AU2" s="9">
        <v>319.14808934924832</v>
      </c>
      <c r="AV2" s="9">
        <v>5.3672780271293394</v>
      </c>
      <c r="AW2" s="9">
        <v>14.417508130422243</v>
      </c>
      <c r="AX2" s="9">
        <v>32.821366882934569</v>
      </c>
      <c r="AY2" s="9">
        <v>15.937732216053183</v>
      </c>
      <c r="AZ2" s="9">
        <v>3.0223784243358344E-2</v>
      </c>
      <c r="BA2" s="9">
        <v>318.95249301498461</v>
      </c>
      <c r="BB2" s="9">
        <v>5.1721378356534293</v>
      </c>
      <c r="BC2" s="9">
        <v>15.007892646466942</v>
      </c>
      <c r="BD2" s="9">
        <v>27.87939355993457</v>
      </c>
      <c r="BE2" s="9">
        <v>398.54513333333335</v>
      </c>
      <c r="BF2" s="9">
        <v>37.563300000000005</v>
      </c>
      <c r="BG2" s="9">
        <v>118.00856666666699</v>
      </c>
      <c r="BH2" s="9">
        <v>0.94146666666666678</v>
      </c>
      <c r="BI2" s="9">
        <v>398.54513333333335</v>
      </c>
      <c r="BJ2" s="9">
        <v>2.7970000000000002</v>
      </c>
      <c r="BK2" s="9">
        <v>1547</v>
      </c>
      <c r="BL2" s="9">
        <v>70.099999999999994</v>
      </c>
      <c r="BM2" s="9">
        <v>15</v>
      </c>
      <c r="BN2" s="9">
        <v>42</v>
      </c>
      <c r="BO2" s="9">
        <v>39.5</v>
      </c>
      <c r="BP2" s="9">
        <v>36.5</v>
      </c>
      <c r="BQ2" s="9">
        <v>1</v>
      </c>
      <c r="BR2" s="9">
        <v>1</v>
      </c>
      <c r="BS2" s="9">
        <v>365.63375122899635</v>
      </c>
      <c r="BT2" s="9">
        <v>352.04820989760907</v>
      </c>
      <c r="BU2" s="9">
        <v>0.84</v>
      </c>
      <c r="BV2" s="9">
        <v>0.83</v>
      </c>
      <c r="BW2" s="9">
        <v>40.923999999999999</v>
      </c>
      <c r="BX2" s="9">
        <v>35.670999999999999</v>
      </c>
      <c r="BY2" s="9">
        <v>18.417000000000002</v>
      </c>
      <c r="BZ2" s="9">
        <v>13.164999999999999</v>
      </c>
      <c r="CA2" s="9">
        <v>21.52896778908076</v>
      </c>
      <c r="CB2" s="9">
        <v>3.2787788830167072E-2</v>
      </c>
      <c r="CC2" s="9">
        <v>319.14808934924832</v>
      </c>
      <c r="CD2" s="9">
        <v>5.3672780271293394</v>
      </c>
      <c r="CE2" s="9">
        <v>14.417508130422243</v>
      </c>
      <c r="CF2" s="9">
        <v>33.572793559934567</v>
      </c>
      <c r="CG2" s="9">
        <v>15.937732216053183</v>
      </c>
      <c r="CH2" s="9">
        <v>3.0223784243358344E-2</v>
      </c>
      <c r="CI2" s="9">
        <v>318.95249301498461</v>
      </c>
      <c r="CJ2" s="9">
        <v>5.1721378356534293</v>
      </c>
      <c r="CK2" s="9">
        <v>15.007892646466942</v>
      </c>
      <c r="CL2" s="9">
        <v>31.66452044286914</v>
      </c>
      <c r="CM2" s="9">
        <v>464.43790000000001</v>
      </c>
      <c r="CN2" s="9">
        <v>176.34119999999999</v>
      </c>
      <c r="CO2" s="9">
        <v>553.9923</v>
      </c>
      <c r="CP2" s="9">
        <v>3.7968999999999999</v>
      </c>
      <c r="CQ2" s="9">
        <v>464.43790000000001</v>
      </c>
      <c r="CR2" s="9">
        <v>52.585999999999999</v>
      </c>
      <c r="CS2" s="9">
        <v>2527</v>
      </c>
      <c r="CT2" s="9">
        <v>29.1</v>
      </c>
      <c r="CU2" s="9">
        <v>1.1000000000000001</v>
      </c>
      <c r="CV2" s="9">
        <v>356.59962632674217</v>
      </c>
      <c r="CW2" s="9">
        <v>0.83</v>
      </c>
      <c r="CX2" s="9">
        <v>25.829177203690925</v>
      </c>
      <c r="CY2" s="9">
        <v>0.36024665728197736</v>
      </c>
      <c r="CZ2" s="9">
        <v>302.15235163628904</v>
      </c>
      <c r="DA2" s="9">
        <v>10.402169825185497</v>
      </c>
      <c r="DB2" s="9">
        <v>2.9406057812933462</v>
      </c>
      <c r="DC2" s="9">
        <v>37.496994018554688</v>
      </c>
      <c r="DD2" s="9">
        <v>85</v>
      </c>
      <c r="DE2" s="9">
        <v>90</v>
      </c>
      <c r="DF2" s="9">
        <v>121</v>
      </c>
      <c r="DG2" s="9">
        <v>103</v>
      </c>
      <c r="DH2" s="9">
        <v>18</v>
      </c>
      <c r="DI2" s="9">
        <v>12</v>
      </c>
      <c r="DJ2" s="9">
        <v>48.59</v>
      </c>
      <c r="DK2" s="9">
        <v>32.094999999999999</v>
      </c>
      <c r="DL2" s="9">
        <v>17.52</v>
      </c>
      <c r="DM2" s="9">
        <v>19.45</v>
      </c>
      <c r="DN2" s="9">
        <f t="shared" ref="DN2:DN33" si="0">DK2-DL2</f>
        <v>14.574999999999999</v>
      </c>
      <c r="DO2" s="9">
        <f t="shared" ref="DO2:DO33" si="1">DL2/DK2</f>
        <v>0.54587942047047833</v>
      </c>
    </row>
    <row r="3" spans="1:119" x14ac:dyDescent="0.25">
      <c r="A3" s="12">
        <v>2</v>
      </c>
      <c r="B3" s="12">
        <v>1</v>
      </c>
      <c r="C3" s="14" t="s">
        <v>202</v>
      </c>
      <c r="D3" s="8" t="s">
        <v>222</v>
      </c>
      <c r="E3" s="8">
        <v>2</v>
      </c>
      <c r="F3" s="9">
        <v>35.6</v>
      </c>
      <c r="G3" s="9">
        <v>0</v>
      </c>
      <c r="H3" s="9">
        <v>3</v>
      </c>
      <c r="I3" s="15">
        <v>22.2</v>
      </c>
      <c r="J3" s="9">
        <v>0.35</v>
      </c>
      <c r="K3" s="9">
        <v>15.3</v>
      </c>
      <c r="L3" s="9">
        <v>0.1</v>
      </c>
      <c r="M3" s="9">
        <v>0.26600000000000001</v>
      </c>
      <c r="N3" s="9">
        <v>0.25</v>
      </c>
      <c r="O3" s="9">
        <v>0.17599999999999999</v>
      </c>
      <c r="P3" s="9">
        <v>4.2000000000000003E-2</v>
      </c>
      <c r="Q3" s="9">
        <v>12.108297223379594</v>
      </c>
      <c r="R3" s="9">
        <v>0.27583184961574531</v>
      </c>
      <c r="S3" s="9">
        <v>243.26840046819524</v>
      </c>
      <c r="T3" s="9">
        <v>4.6019792964589339</v>
      </c>
      <c r="U3" s="9">
        <v>1.6590341282681202</v>
      </c>
      <c r="V3" s="9">
        <v>29.816787719726563</v>
      </c>
      <c r="W3" s="9">
        <v>80.646799999999999</v>
      </c>
      <c r="X3" s="9">
        <v>3.7145000000000001</v>
      </c>
      <c r="Y3" s="9">
        <v>11.6693</v>
      </c>
      <c r="Z3" s="9">
        <v>0.46060000000000001</v>
      </c>
      <c r="AA3" s="9">
        <v>80.646799999999999</v>
      </c>
      <c r="AB3" s="9">
        <v>0.13400000000000001</v>
      </c>
      <c r="AC3" s="9">
        <v>268</v>
      </c>
      <c r="AD3" s="9">
        <v>66.5</v>
      </c>
      <c r="AE3" s="9">
        <v>9</v>
      </c>
      <c r="AF3" s="9">
        <v>27</v>
      </c>
      <c r="AG3" s="9">
        <v>44.5</v>
      </c>
      <c r="AH3" s="9">
        <v>25.4</v>
      </c>
      <c r="AI3" s="9">
        <v>1.1000000000000001</v>
      </c>
      <c r="AJ3" s="9">
        <v>0.8</v>
      </c>
      <c r="AK3" s="9">
        <v>333.9</v>
      </c>
      <c r="AL3" s="9">
        <v>314.8</v>
      </c>
      <c r="AM3" s="9">
        <v>0.85</v>
      </c>
      <c r="AN3" s="9">
        <v>0.83</v>
      </c>
      <c r="AO3" s="9">
        <v>16.170000000000002</v>
      </c>
      <c r="AP3" s="9">
        <v>7.3209999999999997</v>
      </c>
      <c r="AQ3" s="9">
        <v>4.234</v>
      </c>
      <c r="AR3" s="9">
        <v>1.986</v>
      </c>
      <c r="AS3" s="9">
        <v>19.464446674584568</v>
      </c>
      <c r="AT3" s="9">
        <v>4.7373444800068006E-2</v>
      </c>
      <c r="AU3" s="9">
        <v>308.82784073352269</v>
      </c>
      <c r="AV3" s="9">
        <v>8.3539499603147753</v>
      </c>
      <c r="AW3" s="9">
        <v>15.455362613612209</v>
      </c>
      <c r="AX3" s="9">
        <v>32.804427719726561</v>
      </c>
      <c r="AY3" s="9">
        <v>19.46272025977148</v>
      </c>
      <c r="AZ3" s="9">
        <v>5.0336719396068208E-2</v>
      </c>
      <c r="BA3" s="9">
        <v>303.77264338598525</v>
      </c>
      <c r="BB3" s="9">
        <v>9.2295258057209288</v>
      </c>
      <c r="BC3" s="9">
        <v>16.017980065071544</v>
      </c>
      <c r="BD3" s="9">
        <v>27.862454396726562</v>
      </c>
      <c r="BE3" s="9">
        <f t="shared" ref="BE3:BK3" si="2">AVERAGE(BE2:BE2)</f>
        <v>398.54513333333335</v>
      </c>
      <c r="BF3" s="9">
        <f t="shared" si="2"/>
        <v>37.563300000000005</v>
      </c>
      <c r="BG3" s="9">
        <f t="shared" si="2"/>
        <v>118.00856666666699</v>
      </c>
      <c r="BH3" s="9">
        <f t="shared" si="2"/>
        <v>0.94146666666666678</v>
      </c>
      <c r="BI3" s="9">
        <f t="shared" si="2"/>
        <v>398.54513333333335</v>
      </c>
      <c r="BJ3" s="9">
        <f t="shared" si="2"/>
        <v>2.7970000000000002</v>
      </c>
      <c r="BK3" s="9">
        <f t="shared" si="2"/>
        <v>1547</v>
      </c>
      <c r="BL3" s="9">
        <v>85.6</v>
      </c>
      <c r="BM3" s="9">
        <v>14</v>
      </c>
      <c r="BN3" s="9">
        <v>55</v>
      </c>
      <c r="BO3" s="9">
        <v>37.5</v>
      </c>
      <c r="BP3" s="9">
        <v>33</v>
      </c>
      <c r="BQ3" s="9">
        <v>1</v>
      </c>
      <c r="BR3" s="9">
        <v>1</v>
      </c>
      <c r="BS3" s="9">
        <v>358.11161672299306</v>
      </c>
      <c r="BT3" s="9">
        <v>350.52586190798121</v>
      </c>
      <c r="BU3" s="9">
        <v>0.84</v>
      </c>
      <c r="BV3" s="9">
        <v>0.83</v>
      </c>
      <c r="BW3" s="9">
        <v>45.137</v>
      </c>
      <c r="BX3" s="9">
        <v>33.21</v>
      </c>
      <c r="BY3" s="9">
        <v>20.815999999999999</v>
      </c>
      <c r="BZ3" s="9">
        <v>15.67</v>
      </c>
      <c r="CA3" s="9">
        <v>19.464446674584568</v>
      </c>
      <c r="CB3" s="9">
        <v>4.7373444800068006E-2</v>
      </c>
      <c r="CC3" s="9">
        <v>308.82784073352269</v>
      </c>
      <c r="CD3" s="9">
        <v>8.3539499603147753</v>
      </c>
      <c r="CE3" s="9">
        <v>15.455362613612209</v>
      </c>
      <c r="CF3" s="9">
        <v>33.555854396726559</v>
      </c>
      <c r="CG3" s="9">
        <v>19.46272025977148</v>
      </c>
      <c r="CH3" s="9">
        <v>5.0336719396068208E-2</v>
      </c>
      <c r="CI3" s="9">
        <v>303.77264338598525</v>
      </c>
      <c r="CJ3" s="9">
        <v>9.2295258057209288</v>
      </c>
      <c r="CK3" s="9">
        <v>16.017980065071544</v>
      </c>
      <c r="CL3" s="9">
        <v>31.630642116453124</v>
      </c>
      <c r="CM3" s="9">
        <v>449.23059999999998</v>
      </c>
      <c r="CN3" s="9">
        <v>191.8116</v>
      </c>
      <c r="CO3" s="9">
        <v>602.59379999999999</v>
      </c>
      <c r="CP3" s="9">
        <v>4.2698</v>
      </c>
      <c r="CQ3" s="9">
        <v>449.23059999999998</v>
      </c>
      <c r="CR3" s="9">
        <v>64.323999999999998</v>
      </c>
      <c r="CS3" s="9">
        <v>2499</v>
      </c>
      <c r="CT3" s="9">
        <v>32.700000000000003</v>
      </c>
      <c r="CU3" s="9">
        <v>1.1000000000000001</v>
      </c>
      <c r="CV3" s="9">
        <v>349.00087837415651</v>
      </c>
      <c r="CW3" s="9">
        <v>0.83</v>
      </c>
      <c r="CX3" s="9">
        <v>25.866701474799378</v>
      </c>
      <c r="CY3" s="9">
        <v>0.35892299825125451</v>
      </c>
      <c r="CZ3" s="9">
        <v>301.55704954243129</v>
      </c>
      <c r="DA3" s="9">
        <v>10.381154089501587</v>
      </c>
      <c r="DB3" s="9">
        <v>2.9445509527194709</v>
      </c>
      <c r="DC3" s="9">
        <v>37.505062103271484</v>
      </c>
      <c r="DD3" s="9">
        <v>85</v>
      </c>
      <c r="DE3" s="9">
        <v>90</v>
      </c>
      <c r="DF3" s="9">
        <v>121</v>
      </c>
      <c r="DG3" s="9">
        <v>96</v>
      </c>
      <c r="DH3" s="9">
        <v>20</v>
      </c>
      <c r="DI3" s="9">
        <v>12</v>
      </c>
      <c r="DJ3" s="9">
        <v>48.69</v>
      </c>
      <c r="DK3" s="9">
        <v>31.995000000000001</v>
      </c>
      <c r="DL3" s="9">
        <v>16.12</v>
      </c>
      <c r="DM3" s="9">
        <v>18.25</v>
      </c>
      <c r="DN3" s="9">
        <f t="shared" si="0"/>
        <v>15.875</v>
      </c>
      <c r="DO3" s="9">
        <f t="shared" si="1"/>
        <v>0.50382872323800598</v>
      </c>
    </row>
    <row r="4" spans="1:119" x14ac:dyDescent="0.25">
      <c r="A4" s="12">
        <v>3</v>
      </c>
      <c r="B4" s="12">
        <v>1</v>
      </c>
      <c r="C4" s="14" t="s">
        <v>202</v>
      </c>
      <c r="D4" s="8" t="s">
        <v>222</v>
      </c>
      <c r="E4" s="8">
        <v>3</v>
      </c>
      <c r="F4" s="9">
        <v>30.73</v>
      </c>
      <c r="G4" s="9">
        <v>0</v>
      </c>
      <c r="H4" s="9">
        <v>4</v>
      </c>
      <c r="I4" s="9">
        <v>23</v>
      </c>
      <c r="J4" s="9">
        <v>0.4</v>
      </c>
      <c r="K4" s="9">
        <v>15.3</v>
      </c>
      <c r="L4" s="9">
        <v>0.2</v>
      </c>
      <c r="M4" s="9">
        <v>0.65</v>
      </c>
      <c r="N4" s="11">
        <f>AVERAGE(N2:N3)</f>
        <v>0.23249999999999998</v>
      </c>
      <c r="O4" s="9">
        <v>0.35399999999999998</v>
      </c>
      <c r="P4" s="9">
        <v>9.6000000000000002E-2</v>
      </c>
      <c r="Q4" s="9">
        <v>12.583523149956656</v>
      </c>
      <c r="R4" s="9">
        <v>0.27927918479331171</v>
      </c>
      <c r="S4" s="9">
        <v>241.21958455828707</v>
      </c>
      <c r="T4" s="9">
        <v>4.6476931162890844</v>
      </c>
      <c r="U4" s="9">
        <v>1.6559540935740653</v>
      </c>
      <c r="V4" s="9">
        <v>29.812736511230469</v>
      </c>
      <c r="W4" s="9">
        <v>148.1</v>
      </c>
      <c r="X4" s="9">
        <v>6.0244</v>
      </c>
      <c r="Y4" s="9">
        <v>18.926200000000001</v>
      </c>
      <c r="Z4" s="9">
        <v>0.40679999999999999</v>
      </c>
      <c r="AA4" s="9">
        <v>148.1</v>
      </c>
      <c r="AB4" s="9">
        <v>0.192</v>
      </c>
      <c r="AC4" s="9">
        <v>771</v>
      </c>
      <c r="AD4" s="9">
        <v>71</v>
      </c>
      <c r="AE4" s="9">
        <v>9</v>
      </c>
      <c r="AF4" s="9">
        <v>28</v>
      </c>
      <c r="AG4" s="9">
        <v>58.6</v>
      </c>
      <c r="AH4" s="9">
        <v>27.4</v>
      </c>
      <c r="AI4" s="9">
        <v>1.2</v>
      </c>
      <c r="AJ4" s="9">
        <v>0.95</v>
      </c>
      <c r="AK4" s="9">
        <v>316.8</v>
      </c>
      <c r="AL4" s="9">
        <v>319.60000000000002</v>
      </c>
      <c r="AM4" s="9">
        <v>0.83</v>
      </c>
      <c r="AN4" s="9">
        <v>0.83</v>
      </c>
      <c r="AO4" s="9">
        <v>17.53</v>
      </c>
      <c r="AP4" s="9">
        <v>7.125</v>
      </c>
      <c r="AQ4" s="9">
        <v>4.7210000000000001</v>
      </c>
      <c r="AR4" s="9">
        <v>2.0910000000000002</v>
      </c>
      <c r="AS4" s="9">
        <v>21.526590367089081</v>
      </c>
      <c r="AT4" s="9">
        <v>4.0806584385997449E-2</v>
      </c>
      <c r="AU4" s="9">
        <v>297.36623039251606</v>
      </c>
      <c r="AV4" s="9">
        <v>7.8309930601566151</v>
      </c>
      <c r="AW4" s="9">
        <v>16.680895672566255</v>
      </c>
      <c r="AX4" s="9">
        <v>32.800376511230468</v>
      </c>
      <c r="AY4" s="9">
        <v>18.605148745632729</v>
      </c>
      <c r="AZ4" s="9">
        <v>3.4400524891836357E-2</v>
      </c>
      <c r="BA4" s="9">
        <v>297.65056291411918</v>
      </c>
      <c r="BB4" s="9">
        <v>6.7635836916948362</v>
      </c>
      <c r="BC4" s="9">
        <v>17.039030155556901</v>
      </c>
      <c r="BD4" s="9">
        <v>27.858403188230469</v>
      </c>
      <c r="BE4" s="11">
        <f>AVERAGE(BE2:BE3)</f>
        <v>398.54513333333335</v>
      </c>
      <c r="BF4" s="11">
        <f t="shared" ref="BF4:BK4" si="3">AVERAGE(BF2:BF3)</f>
        <v>37.563300000000005</v>
      </c>
      <c r="BG4" s="11">
        <f t="shared" si="3"/>
        <v>118.00856666666699</v>
      </c>
      <c r="BH4" s="11">
        <f t="shared" si="3"/>
        <v>0.94146666666666678</v>
      </c>
      <c r="BI4" s="11">
        <f t="shared" si="3"/>
        <v>398.54513333333335</v>
      </c>
      <c r="BJ4" s="11">
        <f t="shared" si="3"/>
        <v>2.7970000000000002</v>
      </c>
      <c r="BK4" s="11">
        <f t="shared" si="3"/>
        <v>1547</v>
      </c>
      <c r="BL4" s="9">
        <v>86.7</v>
      </c>
      <c r="BM4" s="9">
        <v>15</v>
      </c>
      <c r="BN4" s="9">
        <v>52</v>
      </c>
      <c r="BO4" s="9">
        <v>37.299999999999997</v>
      </c>
      <c r="BP4" s="9">
        <v>35.299999999999997</v>
      </c>
      <c r="BQ4" s="9">
        <v>1</v>
      </c>
      <c r="BR4" s="9">
        <v>1</v>
      </c>
      <c r="BS4" s="9">
        <v>362.63239169499872</v>
      </c>
      <c r="BT4" s="9">
        <v>345.94292873858831</v>
      </c>
      <c r="BU4" s="9">
        <v>0.83</v>
      </c>
      <c r="BV4" s="9">
        <v>0.83</v>
      </c>
      <c r="BW4" s="9">
        <v>42.234000000000002</v>
      </c>
      <c r="BX4" s="9">
        <v>31.89</v>
      </c>
      <c r="BY4" s="9">
        <v>18.690999999999999</v>
      </c>
      <c r="BZ4" s="9">
        <v>14.211</v>
      </c>
      <c r="CA4" s="9">
        <v>21.526590367089081</v>
      </c>
      <c r="CB4" s="9">
        <v>4.0806584385997449E-2</v>
      </c>
      <c r="CC4" s="9">
        <v>297.36623039251606</v>
      </c>
      <c r="CD4" s="9">
        <v>7.8309930601566151</v>
      </c>
      <c r="CE4" s="9">
        <v>16.680895672566255</v>
      </c>
      <c r="CF4" s="9">
        <v>33.551803188230465</v>
      </c>
      <c r="CG4" s="9">
        <v>18.605148745632729</v>
      </c>
      <c r="CH4" s="9">
        <v>3.4400524891836357E-2</v>
      </c>
      <c r="CI4" s="9">
        <v>297.65056291411918</v>
      </c>
      <c r="CJ4" s="9">
        <v>6.7635836916948362</v>
      </c>
      <c r="CK4" s="9">
        <v>17.039030155556901</v>
      </c>
      <c r="CL4" s="9">
        <v>31.622539699460937</v>
      </c>
      <c r="CM4" s="9">
        <f>AVERAGE(CM2:CM3)</f>
        <v>456.83425</v>
      </c>
      <c r="CN4" s="9">
        <v>158.85919999999999</v>
      </c>
      <c r="CO4" s="9">
        <v>499.07089999999999</v>
      </c>
      <c r="CP4" s="9">
        <v>2.1614</v>
      </c>
      <c r="CQ4" s="9">
        <v>734.99639999999999</v>
      </c>
      <c r="CR4" s="9">
        <f>AVERAGE(CR2:CR3)</f>
        <v>58.454999999999998</v>
      </c>
      <c r="CS4" s="9">
        <v>4937</v>
      </c>
      <c r="CT4" s="9">
        <v>27.5</v>
      </c>
      <c r="CU4" s="9">
        <v>1.1000000000000001</v>
      </c>
      <c r="CV4" s="9">
        <v>356.59962632674217</v>
      </c>
      <c r="CW4" s="9">
        <v>0.82</v>
      </c>
      <c r="CX4" s="9">
        <v>25.858267777989024</v>
      </c>
      <c r="CY4" s="9">
        <v>0.35723028006655561</v>
      </c>
      <c r="CZ4" s="9">
        <v>301.03932068416219</v>
      </c>
      <c r="DA4" s="9">
        <v>10.356902602805869</v>
      </c>
      <c r="DB4" s="9">
        <v>2.9503793051766483</v>
      </c>
      <c r="DC4" s="9">
        <v>37.517757415771484</v>
      </c>
      <c r="DD4" s="9">
        <v>85</v>
      </c>
      <c r="DE4" s="9">
        <v>90</v>
      </c>
      <c r="DF4" s="9">
        <v>121</v>
      </c>
      <c r="DG4" s="9">
        <v>120</v>
      </c>
      <c r="DH4" s="9">
        <v>19</v>
      </c>
      <c r="DI4" s="9">
        <v>13</v>
      </c>
      <c r="DJ4" s="9">
        <v>49.12</v>
      </c>
      <c r="DK4" s="9">
        <v>32.049999999999997</v>
      </c>
      <c r="DL4" s="9">
        <v>17.25</v>
      </c>
      <c r="DM4" s="9">
        <v>19.239999999999998</v>
      </c>
      <c r="DN4" s="9">
        <f t="shared" si="0"/>
        <v>14.799999999999997</v>
      </c>
      <c r="DO4" s="9">
        <f t="shared" si="1"/>
        <v>0.53822152886115449</v>
      </c>
    </row>
    <row r="5" spans="1:119" x14ac:dyDescent="0.25">
      <c r="A5" s="12">
        <v>1</v>
      </c>
      <c r="B5" s="12">
        <v>2</v>
      </c>
      <c r="C5" s="14" t="s">
        <v>204</v>
      </c>
      <c r="D5" s="8" t="s">
        <v>222</v>
      </c>
      <c r="E5" s="8">
        <v>1</v>
      </c>
      <c r="F5" s="9">
        <v>27</v>
      </c>
      <c r="G5" s="9">
        <v>0</v>
      </c>
      <c r="H5" s="9">
        <v>4</v>
      </c>
      <c r="I5" s="9">
        <v>16.399999999999999</v>
      </c>
      <c r="J5" s="9">
        <v>0.5</v>
      </c>
      <c r="K5" s="9">
        <v>11.2</v>
      </c>
      <c r="L5" s="9">
        <v>0.4</v>
      </c>
      <c r="M5" s="9">
        <v>0.52300000000000002</v>
      </c>
      <c r="N5" s="9">
        <v>0.35</v>
      </c>
      <c r="O5" s="9">
        <v>0.127</v>
      </c>
      <c r="P5" s="9">
        <v>0.18099999999999999</v>
      </c>
      <c r="Q5" s="9">
        <v>11.934721863149655</v>
      </c>
      <c r="R5" s="9">
        <v>0.27976584383199649</v>
      </c>
      <c r="S5" s="9">
        <v>245.07300326285045</v>
      </c>
      <c r="T5" s="9">
        <v>4.7366224151689797</v>
      </c>
      <c r="U5" s="9">
        <v>1.6845438347623261</v>
      </c>
      <c r="V5" s="9">
        <v>29.939834594726563</v>
      </c>
      <c r="W5" s="9">
        <v>118.3524</v>
      </c>
      <c r="X5" s="9">
        <v>6.2430000000000003</v>
      </c>
      <c r="Y5" s="9">
        <v>19.613099999999999</v>
      </c>
      <c r="Z5" s="9">
        <v>0.52749999999999997</v>
      </c>
      <c r="AA5" s="9">
        <v>118.3524</v>
      </c>
      <c r="AB5" s="9">
        <v>0.25900000000000001</v>
      </c>
      <c r="AC5" s="9">
        <v>448</v>
      </c>
      <c r="AD5" s="9">
        <v>47.3</v>
      </c>
      <c r="AE5" s="9">
        <v>5</v>
      </c>
      <c r="AF5" s="9">
        <v>16</v>
      </c>
      <c r="AG5" s="9">
        <v>30.4</v>
      </c>
      <c r="AH5" s="9">
        <v>21.1</v>
      </c>
      <c r="AI5" s="9">
        <v>0.7</v>
      </c>
      <c r="AJ5" s="9">
        <v>0.8</v>
      </c>
      <c r="AK5" s="9">
        <v>127.8</v>
      </c>
      <c r="AL5" s="9">
        <v>117.5</v>
      </c>
      <c r="AM5" s="9">
        <v>0.84</v>
      </c>
      <c r="AN5" s="9">
        <v>0.82</v>
      </c>
      <c r="AO5" s="9">
        <v>5.79</v>
      </c>
      <c r="AP5" s="9">
        <v>2.0179999999999998</v>
      </c>
      <c r="AQ5" s="9">
        <v>2.681</v>
      </c>
      <c r="AR5" s="9">
        <v>1.0940000000000001</v>
      </c>
      <c r="AS5" s="9">
        <v>24.681915932193196</v>
      </c>
      <c r="AT5" s="9">
        <v>5.0243991049707074E-2</v>
      </c>
      <c r="AU5" s="9">
        <v>285.86112318828339</v>
      </c>
      <c r="AV5" s="9">
        <v>9.9826108216751148</v>
      </c>
      <c r="AW5" s="9">
        <v>17.220805965930776</v>
      </c>
      <c r="AX5" s="9">
        <v>32.927474594726561</v>
      </c>
      <c r="AY5" s="9">
        <v>25.805903042763852</v>
      </c>
      <c r="AZ5" s="9">
        <v>5.0951015539818789E-2</v>
      </c>
      <c r="BA5" s="9">
        <v>283.7926438071645</v>
      </c>
      <c r="BB5" s="9">
        <v>10.319774470696336</v>
      </c>
      <c r="BC5" s="9">
        <v>17.526795462168771</v>
      </c>
      <c r="BD5" s="9">
        <v>27.985501271726562</v>
      </c>
      <c r="BE5" s="9">
        <v>424.30543333333327</v>
      </c>
      <c r="BF5" s="9">
        <v>74.467833333333331</v>
      </c>
      <c r="BG5" s="9">
        <v>233.94756666666663</v>
      </c>
      <c r="BH5" s="9">
        <v>1.8364333333333336</v>
      </c>
      <c r="BI5" s="9">
        <v>424.30543333333327</v>
      </c>
      <c r="BJ5" s="9">
        <v>13.062666666666667</v>
      </c>
      <c r="BK5" s="9">
        <v>1436.3333333333333</v>
      </c>
      <c r="BL5" s="9">
        <v>81.5</v>
      </c>
      <c r="BM5" s="9">
        <v>26</v>
      </c>
      <c r="BN5" s="9">
        <v>81</v>
      </c>
      <c r="BO5" s="9">
        <v>36.4</v>
      </c>
      <c r="BP5" s="9">
        <v>33</v>
      </c>
      <c r="BQ5" s="9">
        <v>1.2</v>
      </c>
      <c r="BR5" s="9">
        <v>0.8</v>
      </c>
      <c r="BS5" s="9">
        <v>380.49561523304453</v>
      </c>
      <c r="BT5" s="9">
        <v>313.15203151956922</v>
      </c>
      <c r="BU5" s="9">
        <v>0.84</v>
      </c>
      <c r="BV5" s="9">
        <v>0.82</v>
      </c>
      <c r="BW5" s="9">
        <v>30.672000000000001</v>
      </c>
      <c r="BX5" s="9">
        <v>19.341000000000001</v>
      </c>
      <c r="BY5" s="9">
        <v>12.785</v>
      </c>
      <c r="BZ5" s="9">
        <v>6.5119999999999996</v>
      </c>
      <c r="CA5" s="9">
        <v>24.681915932193196</v>
      </c>
      <c r="CB5" s="9">
        <v>5.0243991049707074E-2</v>
      </c>
      <c r="CC5" s="9">
        <v>285.86112318828339</v>
      </c>
      <c r="CD5" s="9">
        <v>9.9826108216751148</v>
      </c>
      <c r="CE5" s="9">
        <v>17.220805965930776</v>
      </c>
      <c r="CF5" s="9">
        <v>33.678901271726559</v>
      </c>
      <c r="CG5" s="9">
        <v>25.805903042763852</v>
      </c>
      <c r="CH5" s="9">
        <v>5.0951015539818789E-2</v>
      </c>
      <c r="CI5" s="9">
        <v>283.7926438071645</v>
      </c>
      <c r="CJ5" s="9">
        <v>10.319774470696336</v>
      </c>
      <c r="CK5" s="9">
        <v>17.526795462168771</v>
      </c>
      <c r="CL5" s="9">
        <v>31.876735866453124</v>
      </c>
      <c r="CM5" s="9">
        <v>483.7989</v>
      </c>
      <c r="CN5" s="9">
        <v>118.4872</v>
      </c>
      <c r="CO5" s="9">
        <v>372.23840000000001</v>
      </c>
      <c r="CP5" s="9">
        <v>2.4491000000000001</v>
      </c>
      <c r="CQ5" s="9">
        <v>483.7989</v>
      </c>
      <c r="CR5" s="9">
        <v>22.791</v>
      </c>
      <c r="CS5" s="9">
        <v>2361</v>
      </c>
      <c r="CT5" s="9">
        <v>30.5</v>
      </c>
      <c r="CU5" s="9">
        <v>1.7</v>
      </c>
      <c r="CV5" s="9">
        <v>345.94292873858831</v>
      </c>
      <c r="CW5" s="9">
        <v>0.82</v>
      </c>
      <c r="CX5" s="9">
        <v>22.13045637682773</v>
      </c>
      <c r="CY5" s="9">
        <v>0.37043866142468934</v>
      </c>
      <c r="CZ5" s="9">
        <v>319.07826345166359</v>
      </c>
      <c r="DA5" s="9">
        <v>11.542852884696217</v>
      </c>
      <c r="DB5" s="9">
        <v>3.1632754311063254</v>
      </c>
      <c r="DC5" s="9">
        <v>38.270977020263672</v>
      </c>
      <c r="DD5" s="9">
        <v>91</v>
      </c>
      <c r="DE5" s="9">
        <v>97</v>
      </c>
      <c r="DF5" s="9">
        <v>124</v>
      </c>
      <c r="DG5" s="9">
        <v>88</v>
      </c>
      <c r="DH5" s="9">
        <v>33</v>
      </c>
      <c r="DI5" s="9">
        <v>21</v>
      </c>
      <c r="DJ5" s="9">
        <v>55.15</v>
      </c>
      <c r="DK5" s="9">
        <v>38.450000000000003</v>
      </c>
      <c r="DL5" s="9">
        <v>18.05</v>
      </c>
      <c r="DM5" s="9">
        <v>22.12</v>
      </c>
      <c r="DN5" s="9">
        <f t="shared" si="0"/>
        <v>20.400000000000002</v>
      </c>
      <c r="DO5" s="9">
        <f t="shared" si="1"/>
        <v>0.46944083224967487</v>
      </c>
    </row>
    <row r="6" spans="1:119" x14ac:dyDescent="0.25">
      <c r="A6" s="12">
        <v>2</v>
      </c>
      <c r="B6" s="12">
        <v>2</v>
      </c>
      <c r="C6" s="14" t="s">
        <v>204</v>
      </c>
      <c r="D6" s="8" t="s">
        <v>222</v>
      </c>
      <c r="E6" s="8">
        <v>2</v>
      </c>
      <c r="F6" s="9">
        <v>32.799999999999997</v>
      </c>
      <c r="G6" s="9">
        <v>0</v>
      </c>
      <c r="H6" s="9">
        <v>4</v>
      </c>
      <c r="I6" s="9">
        <v>22</v>
      </c>
      <c r="J6" s="9">
        <v>0.5</v>
      </c>
      <c r="K6" s="9">
        <v>14.9</v>
      </c>
      <c r="L6" s="9">
        <v>0.1</v>
      </c>
      <c r="M6" s="9">
        <v>0.44900000000000001</v>
      </c>
      <c r="N6" s="9">
        <v>0.39</v>
      </c>
      <c r="O6" s="9">
        <v>0.151</v>
      </c>
      <c r="P6" s="9">
        <v>0.191</v>
      </c>
      <c r="Q6" s="9">
        <v>11.872181626034198</v>
      </c>
      <c r="R6" s="9">
        <v>0.28465951979226589</v>
      </c>
      <c r="S6" s="9">
        <v>246.60186376545042</v>
      </c>
      <c r="T6" s="9">
        <v>4.8139866322429681</v>
      </c>
      <c r="U6" s="9">
        <v>1.6842027200860046</v>
      </c>
      <c r="V6" s="9">
        <v>29.948740005493164</v>
      </c>
      <c r="W6" s="9">
        <v>114.694</v>
      </c>
      <c r="X6" s="9">
        <v>5.2781000000000002</v>
      </c>
      <c r="Y6" s="9">
        <v>16.581499999999998</v>
      </c>
      <c r="Z6" s="9">
        <v>0.4602</v>
      </c>
      <c r="AA6" s="9">
        <v>114.694</v>
      </c>
      <c r="AB6" s="9">
        <v>0.191</v>
      </c>
      <c r="AC6" s="9">
        <v>396</v>
      </c>
      <c r="AD6" s="9">
        <v>50.9</v>
      </c>
      <c r="AE6" s="9">
        <v>4</v>
      </c>
      <c r="AF6" s="9">
        <v>13</v>
      </c>
      <c r="AG6" s="9">
        <v>32.200000000000003</v>
      </c>
      <c r="AH6" s="9">
        <v>28</v>
      </c>
      <c r="AI6" s="9">
        <v>0.8</v>
      </c>
      <c r="AJ6" s="9">
        <v>0.9</v>
      </c>
      <c r="AK6" s="9">
        <v>146.4</v>
      </c>
      <c r="AL6" s="9">
        <v>106.9</v>
      </c>
      <c r="AM6" s="9">
        <v>0.85</v>
      </c>
      <c r="AN6" s="9">
        <v>0.84</v>
      </c>
      <c r="AO6" s="9">
        <v>10.962</v>
      </c>
      <c r="AP6" s="9">
        <v>5.1120000000000001</v>
      </c>
      <c r="AQ6" s="9">
        <v>4.6470000000000002</v>
      </c>
      <c r="AR6" s="9">
        <v>1.115</v>
      </c>
      <c r="AS6" s="9">
        <v>24.825974078604389</v>
      </c>
      <c r="AT6" s="9">
        <v>5.8669359309099056E-2</v>
      </c>
      <c r="AU6" s="9">
        <v>282.4506112226951</v>
      </c>
      <c r="AV6" s="9">
        <v>12.251000797833266</v>
      </c>
      <c r="AW6" s="9">
        <v>18.029125067337162</v>
      </c>
      <c r="AX6" s="9">
        <v>32.936380005493163</v>
      </c>
      <c r="AY6" s="9">
        <v>29.450587935847306</v>
      </c>
      <c r="AZ6" s="9">
        <v>5.9441888038642657E-2</v>
      </c>
      <c r="BA6" s="9">
        <v>274.94675044892017</v>
      </c>
      <c r="BB6" s="9">
        <v>12.531445013037958</v>
      </c>
      <c r="BC6" s="9">
        <v>18.180564540728749</v>
      </c>
      <c r="BD6" s="9">
        <v>27.994406682493164</v>
      </c>
      <c r="BE6" s="9">
        <v>318.96186666666665</v>
      </c>
      <c r="BF6" s="9">
        <v>35.594299999999997</v>
      </c>
      <c r="BG6" s="9">
        <v>111.82270000000001</v>
      </c>
      <c r="BH6" s="9">
        <v>1.1197333333333332</v>
      </c>
      <c r="BI6" s="9">
        <v>318.96186666666665</v>
      </c>
      <c r="BJ6" s="9">
        <v>3.1310000000000002</v>
      </c>
      <c r="BK6" s="9">
        <v>1075.6666666666667</v>
      </c>
      <c r="BL6" s="9">
        <v>87.6</v>
      </c>
      <c r="BM6" s="9">
        <v>25</v>
      </c>
      <c r="BN6" s="9">
        <v>86</v>
      </c>
      <c r="BO6" s="9">
        <v>40.5</v>
      </c>
      <c r="BP6" s="9">
        <v>39.5</v>
      </c>
      <c r="BQ6" s="9">
        <v>1.2</v>
      </c>
      <c r="BR6" s="9">
        <v>0.8</v>
      </c>
      <c r="BS6" s="9">
        <v>387.83927281907393</v>
      </c>
      <c r="BT6" s="9">
        <v>317.91672043974671</v>
      </c>
      <c r="BU6" s="9">
        <v>0.84</v>
      </c>
      <c r="BV6" s="9">
        <v>0.84</v>
      </c>
      <c r="BW6" s="9">
        <v>25.129000000000001</v>
      </c>
      <c r="BX6" s="9">
        <v>15.612</v>
      </c>
      <c r="BY6" s="9">
        <v>11.098000000000001</v>
      </c>
      <c r="BZ6" s="9">
        <v>5.8209999999999997</v>
      </c>
      <c r="CA6" s="9">
        <v>29.450587935847306</v>
      </c>
      <c r="CB6" s="9">
        <v>5.9441888038642657E-2</v>
      </c>
      <c r="CC6" s="9">
        <v>274.94675044892017</v>
      </c>
      <c r="CD6" s="9">
        <v>12.531445013037958</v>
      </c>
      <c r="CE6" s="9">
        <v>18.180564540728749</v>
      </c>
      <c r="CF6" s="9">
        <v>33.687806682493161</v>
      </c>
      <c r="CG6" s="9">
        <v>24.825974078604389</v>
      </c>
      <c r="CH6" s="9">
        <v>5.8669359309099056E-2</v>
      </c>
      <c r="CI6" s="9">
        <v>282.4506112226951</v>
      </c>
      <c r="CJ6" s="9">
        <v>12.251000797833266</v>
      </c>
      <c r="CK6" s="9">
        <v>18.029125067337162</v>
      </c>
      <c r="CL6" s="9">
        <v>31.894546687986328</v>
      </c>
      <c r="CM6" s="9">
        <v>484.48989999999998</v>
      </c>
      <c r="CN6" s="9">
        <v>123.5575</v>
      </c>
      <c r="CO6" s="9">
        <v>388.16730000000001</v>
      </c>
      <c r="CP6" s="9">
        <v>2.5503</v>
      </c>
      <c r="CQ6" s="9">
        <v>484.48989999999998</v>
      </c>
      <c r="CR6" s="9">
        <v>24.748000000000001</v>
      </c>
      <c r="CS6" s="9">
        <v>3525</v>
      </c>
      <c r="CT6" s="9">
        <v>30.3</v>
      </c>
      <c r="CU6" s="9">
        <v>1.7</v>
      </c>
      <c r="CV6" s="9">
        <v>353.56794103100185</v>
      </c>
      <c r="CW6" s="9">
        <v>0.82</v>
      </c>
      <c r="CX6" s="9">
        <v>22.226768066619432</v>
      </c>
      <c r="CY6" s="9">
        <v>0.37012542196750403</v>
      </c>
      <c r="CZ6" s="9">
        <v>318.52297629288768</v>
      </c>
      <c r="DA6" s="9">
        <v>11.537991178572749</v>
      </c>
      <c r="DB6" s="9">
        <v>3.1643845794932997</v>
      </c>
      <c r="DC6" s="9">
        <v>38.273189544677734</v>
      </c>
      <c r="DD6" s="9">
        <v>91</v>
      </c>
      <c r="DE6" s="9">
        <v>97</v>
      </c>
      <c r="DF6" s="9">
        <v>124</v>
      </c>
      <c r="DG6" s="9">
        <v>88</v>
      </c>
      <c r="DH6" s="9">
        <v>27</v>
      </c>
      <c r="DI6" s="9">
        <v>17</v>
      </c>
      <c r="DJ6" s="9">
        <v>52.19</v>
      </c>
      <c r="DK6" s="9">
        <v>37.65</v>
      </c>
      <c r="DL6" s="9">
        <v>16.95</v>
      </c>
      <c r="DM6" s="9">
        <v>21.95</v>
      </c>
      <c r="DN6" s="9">
        <f t="shared" si="0"/>
        <v>20.7</v>
      </c>
      <c r="DO6" s="9">
        <f t="shared" si="1"/>
        <v>0.45019920318725098</v>
      </c>
    </row>
    <row r="7" spans="1:119" x14ac:dyDescent="0.25">
      <c r="A7" s="12">
        <v>3</v>
      </c>
      <c r="B7" s="12">
        <v>2</v>
      </c>
      <c r="C7" s="14" t="s">
        <v>204</v>
      </c>
      <c r="D7" s="8" t="s">
        <v>222</v>
      </c>
      <c r="E7" s="8">
        <v>3</v>
      </c>
      <c r="F7" s="9">
        <v>36.799999999999997</v>
      </c>
      <c r="G7" s="9">
        <v>0</v>
      </c>
      <c r="H7" s="9">
        <v>4</v>
      </c>
      <c r="I7" s="9">
        <v>22</v>
      </c>
      <c r="J7" s="9">
        <v>0.65</v>
      </c>
      <c r="K7" s="9">
        <f>AVERAGE(K5:K6)</f>
        <v>13.05</v>
      </c>
      <c r="L7" s="9">
        <v>0.6</v>
      </c>
      <c r="M7" s="9">
        <v>0.80600000000000005</v>
      </c>
      <c r="N7" s="9">
        <v>0.42</v>
      </c>
      <c r="O7" s="9">
        <v>0.25700000000000001</v>
      </c>
      <c r="P7" s="9">
        <v>0.122</v>
      </c>
      <c r="Q7" s="9">
        <v>11.421598624607729</v>
      </c>
      <c r="R7" s="9">
        <v>0.25514256712310029</v>
      </c>
      <c r="S7" s="9">
        <v>240.46047722352736</v>
      </c>
      <c r="T7" s="9">
        <v>4.3792857719292888</v>
      </c>
      <c r="U7" s="9">
        <v>1.6993490787533392</v>
      </c>
      <c r="V7" s="9">
        <v>30.014665603637695</v>
      </c>
      <c r="W7" s="9">
        <v>132.0984</v>
      </c>
      <c r="X7" s="9">
        <v>8.7788000000000004</v>
      </c>
      <c r="Y7" s="9">
        <v>27.5794</v>
      </c>
      <c r="Z7" s="9">
        <v>0.66459999999999997</v>
      </c>
      <c r="AA7" s="9">
        <v>132.0984</v>
      </c>
      <c r="AB7" s="9">
        <v>0.45800000000000002</v>
      </c>
      <c r="AC7" s="9">
        <v>492</v>
      </c>
      <c r="AD7" s="9">
        <v>53.9</v>
      </c>
      <c r="AE7" s="9">
        <v>6</v>
      </c>
      <c r="AF7" s="9">
        <v>18</v>
      </c>
      <c r="AG7" s="9">
        <v>31</v>
      </c>
      <c r="AH7" s="9">
        <v>21</v>
      </c>
      <c r="AI7" s="9">
        <v>0.8</v>
      </c>
      <c r="AJ7" s="9">
        <v>0.8</v>
      </c>
      <c r="AK7" s="9">
        <v>135.80000000000001</v>
      </c>
      <c r="AL7" s="9">
        <v>107.8</v>
      </c>
      <c r="AM7" s="9">
        <v>0.84</v>
      </c>
      <c r="AN7" s="9">
        <v>0.85</v>
      </c>
      <c r="AO7" s="9">
        <v>11.21</v>
      </c>
      <c r="AP7" s="9">
        <v>5.7629999999999999</v>
      </c>
      <c r="AQ7" s="9">
        <v>4.3209999999999997</v>
      </c>
      <c r="AR7" s="9">
        <v>1.0209999999999999</v>
      </c>
      <c r="AS7" s="9">
        <v>23.144647348280415</v>
      </c>
      <c r="AT7" s="9">
        <v>5.6946912311445649E-2</v>
      </c>
      <c r="AU7" s="9">
        <v>278.50921473002393</v>
      </c>
      <c r="AV7" s="9">
        <v>12.316487534754399</v>
      </c>
      <c r="AW7" s="9">
        <v>18.597137626358062</v>
      </c>
      <c r="AX7" s="9">
        <v>33.002305603637694</v>
      </c>
      <c r="AY7" s="9">
        <v>26.511607372994387</v>
      </c>
      <c r="AZ7" s="9">
        <v>4.0733780379569103E-2</v>
      </c>
      <c r="BA7" s="9">
        <v>221.34709403982077</v>
      </c>
      <c r="BB7" s="9">
        <v>13.840051667054842</v>
      </c>
      <c r="BC7" s="9">
        <v>27.669801474902908</v>
      </c>
      <c r="BD7" s="9">
        <v>28.060332280637695</v>
      </c>
      <c r="BE7" s="9">
        <f t="shared" ref="BE7:BK7" si="4">AVERAGE(BE5:BE6)</f>
        <v>371.63364999999999</v>
      </c>
      <c r="BF7" s="9">
        <f t="shared" si="4"/>
        <v>55.031066666666661</v>
      </c>
      <c r="BG7" s="9">
        <f t="shared" si="4"/>
        <v>172.88513333333333</v>
      </c>
      <c r="BH7" s="9">
        <f t="shared" si="4"/>
        <v>1.4780833333333334</v>
      </c>
      <c r="BI7" s="9">
        <f t="shared" si="4"/>
        <v>371.63364999999999</v>
      </c>
      <c r="BJ7" s="9">
        <f t="shared" si="4"/>
        <v>8.0968333333333327</v>
      </c>
      <c r="BK7" s="9">
        <f t="shared" si="4"/>
        <v>1256</v>
      </c>
      <c r="BL7" s="9">
        <v>93.5</v>
      </c>
      <c r="BM7" s="9">
        <v>29</v>
      </c>
      <c r="BN7" s="9">
        <v>93</v>
      </c>
      <c r="BO7" s="9">
        <v>38.5</v>
      </c>
      <c r="BP7" s="9">
        <v>37.299999999999997</v>
      </c>
      <c r="BQ7" s="9">
        <v>1.2</v>
      </c>
      <c r="BR7" s="9">
        <v>0.8</v>
      </c>
      <c r="BS7" s="9">
        <v>380.49561523304453</v>
      </c>
      <c r="BT7" s="9">
        <v>316.33161421276441</v>
      </c>
      <c r="BU7" s="9">
        <v>0.84</v>
      </c>
      <c r="BV7" s="9">
        <v>0.83</v>
      </c>
      <c r="BW7" s="9">
        <v>27.873999999999999</v>
      </c>
      <c r="BX7" s="9">
        <v>18.091000000000001</v>
      </c>
      <c r="BY7" s="9">
        <v>11.762</v>
      </c>
      <c r="BZ7" s="9">
        <v>6.8120000000000003</v>
      </c>
      <c r="CA7" s="9">
        <v>25.723933849692468</v>
      </c>
      <c r="CB7" s="9">
        <v>3.9530058814140789E-2</v>
      </c>
      <c r="CC7" s="9">
        <v>218.45604527713613</v>
      </c>
      <c r="CD7" s="9">
        <v>13.866814636777145</v>
      </c>
      <c r="CE7" s="9">
        <v>28.294259384111058</v>
      </c>
      <c r="CF7" s="9">
        <v>33.753732280637692</v>
      </c>
      <c r="CG7" s="9">
        <v>23.144647348280415</v>
      </c>
      <c r="CH7" s="9">
        <v>5.6946912311445649E-2</v>
      </c>
      <c r="CI7" s="9">
        <v>278.50921473002393</v>
      </c>
      <c r="CJ7" s="9">
        <v>12.316487534754399</v>
      </c>
      <c r="CK7" s="9">
        <v>18.597137626358062</v>
      </c>
      <c r="CL7" s="9">
        <v>32.02639788427539</v>
      </c>
      <c r="CM7" s="9">
        <v>480.7122</v>
      </c>
      <c r="CN7" s="9">
        <v>168.40450000000001</v>
      </c>
      <c r="CO7" s="9">
        <v>529.05830000000003</v>
      </c>
      <c r="CP7" s="9">
        <v>3.5032000000000001</v>
      </c>
      <c r="CQ7" s="9">
        <v>480.7122</v>
      </c>
      <c r="CR7" s="9">
        <f>AVERAGE(CR5:CR6)</f>
        <v>23.769500000000001</v>
      </c>
      <c r="CS7" s="9">
        <v>2848</v>
      </c>
      <c r="CT7" s="9">
        <v>30.7</v>
      </c>
      <c r="CU7" s="9">
        <v>1.7</v>
      </c>
      <c r="CV7" s="9">
        <v>359.62106273871439</v>
      </c>
      <c r="CW7" s="9">
        <v>0.82</v>
      </c>
      <c r="CX7" s="9">
        <v>22.124538023058797</v>
      </c>
      <c r="CY7" s="9">
        <v>0.36973129567277802</v>
      </c>
      <c r="CZ7" s="9">
        <v>318.89286371059353</v>
      </c>
      <c r="DA7" s="9">
        <v>11.535284669495642</v>
      </c>
      <c r="DB7" s="9">
        <v>3.1667047232321681</v>
      </c>
      <c r="DC7" s="9">
        <v>38.278846740722656</v>
      </c>
      <c r="DD7" s="9">
        <v>91</v>
      </c>
      <c r="DE7" s="9">
        <v>97</v>
      </c>
      <c r="DF7" s="9">
        <v>124</v>
      </c>
      <c r="DG7" s="9">
        <v>86</v>
      </c>
      <c r="DH7" s="9">
        <v>25</v>
      </c>
      <c r="DI7" s="9">
        <v>15</v>
      </c>
      <c r="DJ7" s="9">
        <v>52.95</v>
      </c>
      <c r="DK7" s="9">
        <v>36.119999999999997</v>
      </c>
      <c r="DL7" s="9">
        <v>16.36</v>
      </c>
      <c r="DM7" s="9">
        <v>21.65</v>
      </c>
      <c r="DN7" s="9">
        <f t="shared" si="0"/>
        <v>19.759999999999998</v>
      </c>
      <c r="DO7" s="9">
        <f t="shared" si="1"/>
        <v>0.45293466223698786</v>
      </c>
    </row>
    <row r="8" spans="1:119" x14ac:dyDescent="0.25">
      <c r="A8" s="12">
        <v>1</v>
      </c>
      <c r="B8" s="12">
        <v>3</v>
      </c>
      <c r="C8" s="14" t="s">
        <v>205</v>
      </c>
      <c r="D8" s="8" t="s">
        <v>222</v>
      </c>
      <c r="E8" s="8">
        <v>1</v>
      </c>
      <c r="F8" s="9">
        <v>33</v>
      </c>
      <c r="G8" s="9">
        <v>0</v>
      </c>
      <c r="H8" s="9">
        <v>3</v>
      </c>
      <c r="I8" s="9">
        <v>19.7</v>
      </c>
      <c r="J8" s="9">
        <v>0.35</v>
      </c>
      <c r="K8" s="9">
        <v>17.8</v>
      </c>
      <c r="L8" s="9">
        <v>0.1</v>
      </c>
      <c r="M8" s="9">
        <v>0.49399999999999999</v>
      </c>
      <c r="N8" s="9">
        <v>0.26</v>
      </c>
      <c r="O8" s="9">
        <v>0.17499999999999999</v>
      </c>
      <c r="P8" s="9">
        <v>6.2E-2</v>
      </c>
      <c r="Q8" s="9">
        <v>11.421254107634699</v>
      </c>
      <c r="R8" s="9">
        <v>0.26091456200856067</v>
      </c>
      <c r="S8" s="9">
        <v>241.95119025920368</v>
      </c>
      <c r="T8" s="9">
        <v>4.4625044341028266</v>
      </c>
      <c r="U8" s="9">
        <v>1.6952552606309279</v>
      </c>
      <c r="V8" s="9">
        <v>30.009037017822266</v>
      </c>
      <c r="W8" s="9">
        <v>157.161</v>
      </c>
      <c r="X8" s="9">
        <v>7.99</v>
      </c>
      <c r="Y8" s="9">
        <v>25.101299999999998</v>
      </c>
      <c r="Z8" s="9">
        <v>0.50839999999999996</v>
      </c>
      <c r="AA8" s="9">
        <v>157.161</v>
      </c>
      <c r="AB8" s="9">
        <v>0.31900000000000001</v>
      </c>
      <c r="AC8" s="9">
        <v>622</v>
      </c>
      <c r="AD8" s="9">
        <v>44</v>
      </c>
      <c r="AE8" s="9">
        <v>9</v>
      </c>
      <c r="AF8" s="9">
        <v>28</v>
      </c>
      <c r="AG8" s="9">
        <v>29.9</v>
      </c>
      <c r="AH8" s="9">
        <v>19.100000000000001</v>
      </c>
      <c r="AI8" s="9">
        <v>0.7</v>
      </c>
      <c r="AJ8" s="9">
        <v>0.6</v>
      </c>
      <c r="AK8" s="9">
        <v>458.2</v>
      </c>
      <c r="AL8" s="9">
        <v>417.9</v>
      </c>
      <c r="AM8" s="9">
        <v>0.83</v>
      </c>
      <c r="AN8" s="9">
        <v>0.83</v>
      </c>
      <c r="AO8" s="9">
        <v>8.2279999999999998</v>
      </c>
      <c r="AP8" s="9">
        <v>2.9169999999999998</v>
      </c>
      <c r="AQ8" s="9">
        <v>3.0310000000000001</v>
      </c>
      <c r="AR8" s="9">
        <v>1.0109999999999999</v>
      </c>
      <c r="AS8" s="9">
        <v>13.195907674519338</v>
      </c>
      <c r="AT8" s="9">
        <v>3.9245261710736661E-2</v>
      </c>
      <c r="AU8" s="9">
        <v>259.50916929251071</v>
      </c>
      <c r="AV8" s="9">
        <v>11.086736094121587</v>
      </c>
      <c r="AW8" s="9">
        <v>23.523048122036506</v>
      </c>
      <c r="AX8" s="9">
        <v>32.996677017822265</v>
      </c>
      <c r="AY8" s="9">
        <v>22.516234347901918</v>
      </c>
      <c r="AZ8" s="9">
        <v>5.6219827994014024E-2</v>
      </c>
      <c r="BA8" s="9">
        <v>274.57723348725762</v>
      </c>
      <c r="BB8" s="9">
        <v>12.810009463094559</v>
      </c>
      <c r="BC8" s="9">
        <v>19.492614466490384</v>
      </c>
      <c r="BD8" s="9">
        <v>28.054703694822265</v>
      </c>
      <c r="BE8" s="9">
        <v>546.45296666666673</v>
      </c>
      <c r="BF8" s="9">
        <v>72.009933333333336</v>
      </c>
      <c r="BG8" s="9">
        <v>226.22579999999996</v>
      </c>
      <c r="BH8" s="9">
        <v>1.3192333333333333</v>
      </c>
      <c r="BI8" s="9">
        <v>546.45296666666673</v>
      </c>
      <c r="BJ8" s="9">
        <v>7.4689999999999985</v>
      </c>
      <c r="BK8" s="9">
        <v>1861.6666666666667</v>
      </c>
      <c r="BL8" s="9">
        <v>66.7</v>
      </c>
      <c r="BM8" s="9">
        <v>32</v>
      </c>
      <c r="BN8" s="9">
        <v>109</v>
      </c>
      <c r="BO8" s="9">
        <v>40.799999999999997</v>
      </c>
      <c r="BP8" s="9">
        <v>33.1</v>
      </c>
      <c r="BQ8" s="9">
        <v>0.8</v>
      </c>
      <c r="BR8" s="9">
        <v>0.8</v>
      </c>
      <c r="BS8" s="9">
        <v>295.43214266355477</v>
      </c>
      <c r="BT8" s="9">
        <v>321.07768789854686</v>
      </c>
      <c r="BU8" s="9">
        <v>0.83</v>
      </c>
      <c r="BV8" s="9">
        <v>0.83</v>
      </c>
      <c r="BW8" s="9">
        <v>49.039000000000001</v>
      </c>
      <c r="BX8" s="9">
        <v>27.093</v>
      </c>
      <c r="BY8" s="9">
        <v>18.917000000000002</v>
      </c>
      <c r="BZ8" s="9">
        <v>8.9169999999999998</v>
      </c>
      <c r="CA8" s="9">
        <v>27.299280896296303</v>
      </c>
      <c r="CB8" s="9">
        <v>4.1937501944997416E-2</v>
      </c>
      <c r="CC8" s="9">
        <v>224.23814280250545</v>
      </c>
      <c r="CD8" s="9">
        <v>13.813288697332538</v>
      </c>
      <c r="CE8" s="9">
        <v>27.045343565694765</v>
      </c>
      <c r="CF8" s="9">
        <v>33.748103694822262</v>
      </c>
      <c r="CG8" s="9">
        <v>13.195907674519338</v>
      </c>
      <c r="CH8" s="9">
        <v>3.9245261710736661E-2</v>
      </c>
      <c r="CI8" s="9">
        <v>259.50916929251071</v>
      </c>
      <c r="CJ8" s="9">
        <v>11.086736094121587</v>
      </c>
      <c r="CK8" s="9">
        <v>23.523048122036506</v>
      </c>
      <c r="CL8" s="9">
        <v>32.015140712644531</v>
      </c>
      <c r="CM8" s="9">
        <f>AVERAGE(CM9:CM10)</f>
        <v>596.33529999999996</v>
      </c>
      <c r="CN8" s="9">
        <v>154.91579999999999</v>
      </c>
      <c r="CO8" s="9">
        <v>486.68239999999997</v>
      </c>
      <c r="CP8" s="9">
        <f>AVERAGE(CP9:CP10)</f>
        <v>2.6952499999999997</v>
      </c>
      <c r="CQ8" s="9">
        <v>281.16129999999998</v>
      </c>
      <c r="CR8" s="9">
        <v>67.039000000000001</v>
      </c>
      <c r="CS8" s="9">
        <v>2692</v>
      </c>
      <c r="CT8" s="9">
        <v>28.5</v>
      </c>
      <c r="CU8" s="9">
        <v>1.2</v>
      </c>
      <c r="CV8" s="9">
        <v>333.60180243703246</v>
      </c>
      <c r="CW8" s="9">
        <v>0.83</v>
      </c>
      <c r="CX8" s="9">
        <v>29.902706106457881</v>
      </c>
      <c r="CY8" s="9">
        <v>0.66139294994549402</v>
      </c>
      <c r="CZ8" s="9">
        <v>332.54557498863124</v>
      </c>
      <c r="DA8" s="9">
        <v>15.340562324656</v>
      </c>
      <c r="DB8" s="9">
        <v>2.5247218585640305</v>
      </c>
      <c r="DC8" s="9">
        <v>37.380287170410156</v>
      </c>
      <c r="DD8" s="9">
        <v>93</v>
      </c>
      <c r="DE8" s="9">
        <v>97</v>
      </c>
      <c r="DF8" s="9">
        <v>124</v>
      </c>
      <c r="DG8" s="9">
        <v>79</v>
      </c>
      <c r="DH8" s="9">
        <v>25</v>
      </c>
      <c r="DI8" s="9">
        <v>12</v>
      </c>
      <c r="DJ8" s="9">
        <v>51.112000000000002</v>
      </c>
      <c r="DK8" s="9">
        <v>38.113199999999999</v>
      </c>
      <c r="DL8" s="9">
        <v>16.37</v>
      </c>
      <c r="DM8" s="9">
        <v>21.65</v>
      </c>
      <c r="DN8" s="9">
        <f t="shared" si="0"/>
        <v>21.743199999999998</v>
      </c>
      <c r="DO8" s="9">
        <f t="shared" si="1"/>
        <v>0.42950998604158142</v>
      </c>
    </row>
    <row r="9" spans="1:119" x14ac:dyDescent="0.25">
      <c r="A9" s="12">
        <v>2</v>
      </c>
      <c r="B9" s="12">
        <v>3</v>
      </c>
      <c r="C9" s="14" t="s">
        <v>205</v>
      </c>
      <c r="D9" s="8" t="s">
        <v>222</v>
      </c>
      <c r="E9" s="8">
        <v>2</v>
      </c>
      <c r="F9" s="9">
        <v>28</v>
      </c>
      <c r="G9" s="9">
        <v>0</v>
      </c>
      <c r="H9" s="9">
        <v>3</v>
      </c>
      <c r="I9" s="9">
        <v>15</v>
      </c>
      <c r="J9" s="9">
        <v>0.25</v>
      </c>
      <c r="K9" s="9">
        <v>10.7</v>
      </c>
      <c r="L9" s="9">
        <v>0.1</v>
      </c>
      <c r="M9" s="9">
        <v>0.28000000000000003</v>
      </c>
      <c r="N9" s="9">
        <v>0.215</v>
      </c>
      <c r="O9" s="9">
        <v>0.154</v>
      </c>
      <c r="P9" s="9">
        <v>4.4999999999999998E-2</v>
      </c>
      <c r="Q9" s="9">
        <v>11.736635734912371</v>
      </c>
      <c r="R9" s="9">
        <v>0.26704654060437311</v>
      </c>
      <c r="S9" s="9">
        <v>241.51282187642522</v>
      </c>
      <c r="T9" s="9">
        <v>4.5484141235273352</v>
      </c>
      <c r="U9" s="9">
        <v>1.6902553261666005</v>
      </c>
      <c r="V9" s="9">
        <v>29.998941421508789</v>
      </c>
      <c r="W9" s="9">
        <v>153.88290000000001</v>
      </c>
      <c r="X9" s="9">
        <v>5.6516999999999999</v>
      </c>
      <c r="Y9" s="9">
        <v>17.755400000000002</v>
      </c>
      <c r="Z9" s="9">
        <v>0.36730000000000002</v>
      </c>
      <c r="AA9" s="9">
        <v>153.88290000000001</v>
      </c>
      <c r="AB9" s="9">
        <v>0.16300000000000001</v>
      </c>
      <c r="AC9" s="9">
        <v>633</v>
      </c>
      <c r="AD9" s="9">
        <v>48.3</v>
      </c>
      <c r="AE9" s="9">
        <v>12</v>
      </c>
      <c r="AF9" s="9">
        <v>38</v>
      </c>
      <c r="AG9" s="9">
        <v>30.8</v>
      </c>
      <c r="AH9" s="9">
        <v>25.2</v>
      </c>
      <c r="AI9" s="9">
        <v>1</v>
      </c>
      <c r="AJ9" s="9">
        <v>0.8</v>
      </c>
      <c r="AK9" s="9">
        <v>428.4</v>
      </c>
      <c r="AL9" s="9">
        <v>408.7</v>
      </c>
      <c r="AM9" s="9">
        <v>0.85</v>
      </c>
      <c r="AN9" s="9">
        <v>0.84</v>
      </c>
      <c r="AO9" s="9">
        <v>13.42</v>
      </c>
      <c r="AP9" s="9">
        <v>6.7149999999999999</v>
      </c>
      <c r="AQ9" s="9">
        <v>4.5209999999999999</v>
      </c>
      <c r="AR9" s="9">
        <v>1.415</v>
      </c>
      <c r="AS9" s="9">
        <v>21.57683175654098</v>
      </c>
      <c r="AT9" s="9">
        <v>5.9284075271937395E-2</v>
      </c>
      <c r="AU9" s="9">
        <v>272.33277288872233</v>
      </c>
      <c r="AV9" s="9">
        <v>13.625394660928862</v>
      </c>
      <c r="AW9" s="9">
        <v>19.636896870516161</v>
      </c>
      <c r="AX9" s="9">
        <v>32.986581421508788</v>
      </c>
      <c r="AY9" s="9">
        <v>16.777254958073406</v>
      </c>
      <c r="AZ9" s="9">
        <v>5.2360667556516402E-2</v>
      </c>
      <c r="BA9" s="9">
        <v>277.43405789512974</v>
      </c>
      <c r="BB9" s="9">
        <v>12.132692903350948</v>
      </c>
      <c r="BC9" s="9">
        <v>19.77661872099052</v>
      </c>
      <c r="BD9" s="9">
        <v>28.044608098508789</v>
      </c>
      <c r="BE9" s="9">
        <f t="shared" ref="BE9:BK9" ca="1" si="5">AVERAGE(BE8:BE9)</f>
        <v>417.70231666666666</v>
      </c>
      <c r="BF9" s="9">
        <f t="shared" ca="1" si="5"/>
        <v>48.493066666666671</v>
      </c>
      <c r="BG9" s="9">
        <f t="shared" ca="1" si="5"/>
        <v>152.34541666666664</v>
      </c>
      <c r="BH9" s="9">
        <f t="shared" ca="1" si="5"/>
        <v>1.0908166666666665</v>
      </c>
      <c r="BI9" s="9">
        <f t="shared" ca="1" si="5"/>
        <v>417.70231666666666</v>
      </c>
      <c r="BJ9" s="9">
        <f t="shared" ca="1" si="5"/>
        <v>4.5826666666666664</v>
      </c>
      <c r="BK9" s="9">
        <f t="shared" ca="1" si="5"/>
        <v>1362.5</v>
      </c>
      <c r="BL9" s="9">
        <v>62.9</v>
      </c>
      <c r="BM9" s="9">
        <v>28</v>
      </c>
      <c r="BN9" s="9">
        <v>92</v>
      </c>
      <c r="BO9" s="9">
        <v>36.200000000000003</v>
      </c>
      <c r="BP9" s="9">
        <v>31.2</v>
      </c>
      <c r="BQ9" s="9">
        <v>0.8</v>
      </c>
      <c r="BR9" s="9">
        <v>0.8</v>
      </c>
      <c r="BS9" s="9">
        <v>270.58141863344827</v>
      </c>
      <c r="BT9" s="9">
        <v>313.15203151956922</v>
      </c>
      <c r="BU9" s="9">
        <v>0.84</v>
      </c>
      <c r="BV9" s="9">
        <v>0.82</v>
      </c>
      <c r="BW9" s="9">
        <v>46.720999999999997</v>
      </c>
      <c r="BX9" s="9">
        <v>27.015000000000001</v>
      </c>
      <c r="BY9" s="9">
        <v>17.562000000000001</v>
      </c>
      <c r="BZ9" s="9">
        <v>9.3239999999999998</v>
      </c>
      <c r="CA9" s="9">
        <v>22.516234347901918</v>
      </c>
      <c r="CB9" s="9">
        <v>5.6219827994014024E-2</v>
      </c>
      <c r="CC9" s="9">
        <v>274.57723348725762</v>
      </c>
      <c r="CD9" s="9">
        <v>12.810009463094559</v>
      </c>
      <c r="CE9" s="9">
        <v>19.492614466490384</v>
      </c>
      <c r="CF9" s="9">
        <v>33.738008098508786</v>
      </c>
      <c r="CG9" s="9">
        <v>21.57683175654098</v>
      </c>
      <c r="CH9" s="9">
        <v>5.9284075271937395E-2</v>
      </c>
      <c r="CI9" s="9">
        <v>272.33277288872233</v>
      </c>
      <c r="CJ9" s="9">
        <v>13.625394660928862</v>
      </c>
      <c r="CK9" s="9">
        <v>19.636896870516161</v>
      </c>
      <c r="CL9" s="9">
        <v>31.994949520017578</v>
      </c>
      <c r="CM9" s="9">
        <v>497.9742</v>
      </c>
      <c r="CN9" s="9">
        <v>122.0184</v>
      </c>
      <c r="CO9" s="9">
        <v>383.33199999999999</v>
      </c>
      <c r="CP9" s="9">
        <v>2.4502999999999999</v>
      </c>
      <c r="CQ9" s="9">
        <v>497.9742</v>
      </c>
      <c r="CR9" s="9">
        <v>23.481999999999999</v>
      </c>
      <c r="CS9" s="9">
        <v>3645</v>
      </c>
      <c r="CT9" s="9">
        <v>28.7</v>
      </c>
      <c r="CU9" s="9">
        <v>1.2</v>
      </c>
      <c r="CV9" s="9">
        <v>335.15422333859686</v>
      </c>
      <c r="CW9" s="9">
        <v>0.83</v>
      </c>
      <c r="CX9" s="9">
        <v>29.847690082695799</v>
      </c>
      <c r="CY9" s="9">
        <v>0.65979552780453699</v>
      </c>
      <c r="CZ9" s="9">
        <v>332.54080710914718</v>
      </c>
      <c r="DA9" s="9">
        <v>15.32645065008081</v>
      </c>
      <c r="DB9" s="9">
        <v>2.5276119057026101</v>
      </c>
      <c r="DC9" s="9">
        <v>37.385398864746094</v>
      </c>
      <c r="DD9" s="9">
        <v>93</v>
      </c>
      <c r="DE9" s="9">
        <v>97</v>
      </c>
      <c r="DF9" s="9">
        <v>124</v>
      </c>
      <c r="DG9" s="9">
        <v>85</v>
      </c>
      <c r="DH9" s="9">
        <v>22</v>
      </c>
      <c r="DI9" s="9">
        <v>10</v>
      </c>
      <c r="DJ9" s="9">
        <v>50.451999999999998</v>
      </c>
      <c r="DK9" s="9">
        <v>37.65</v>
      </c>
      <c r="DL9" s="9">
        <v>15.95</v>
      </c>
      <c r="DM9" s="9">
        <v>20.99</v>
      </c>
      <c r="DN9" s="9">
        <f t="shared" si="0"/>
        <v>21.7</v>
      </c>
      <c r="DO9" s="9">
        <f t="shared" si="1"/>
        <v>0.42363877822045154</v>
      </c>
    </row>
    <row r="10" spans="1:119" x14ac:dyDescent="0.25">
      <c r="A10" s="12">
        <v>3</v>
      </c>
      <c r="B10" s="12">
        <v>3</v>
      </c>
      <c r="C10" s="14" t="s">
        <v>205</v>
      </c>
      <c r="D10" s="8" t="s">
        <v>222</v>
      </c>
      <c r="E10" s="8">
        <v>3</v>
      </c>
      <c r="F10" s="9">
        <v>31</v>
      </c>
      <c r="G10" s="9">
        <v>0</v>
      </c>
      <c r="H10" s="9">
        <v>3</v>
      </c>
      <c r="I10" s="9">
        <v>18.399999999999999</v>
      </c>
      <c r="J10" s="9">
        <v>0.2</v>
      </c>
      <c r="K10" s="9">
        <v>15.7</v>
      </c>
      <c r="L10" s="9">
        <v>0.15</v>
      </c>
      <c r="M10" s="9">
        <v>0.253</v>
      </c>
      <c r="N10" s="9">
        <v>0.21</v>
      </c>
      <c r="O10" s="9">
        <v>0.109</v>
      </c>
      <c r="P10" s="9">
        <v>0.11</v>
      </c>
      <c r="Q10" s="9">
        <v>11.882369010898906</v>
      </c>
      <c r="R10" s="9">
        <v>0.27183435370448727</v>
      </c>
      <c r="S10" s="9">
        <v>241.82736429360102</v>
      </c>
      <c r="T10" s="9">
        <v>4.619436767087592</v>
      </c>
      <c r="U10" s="9">
        <v>1.687980273879881</v>
      </c>
      <c r="V10" s="9">
        <v>29.999029159545898</v>
      </c>
      <c r="W10" s="9">
        <v>116.07259999999999</v>
      </c>
      <c r="X10" s="9">
        <v>5.4812000000000003</v>
      </c>
      <c r="Y10" s="9">
        <v>17.2197</v>
      </c>
      <c r="Z10" s="9">
        <v>0.47220000000000001</v>
      </c>
      <c r="AA10" s="9">
        <v>116.07259999999999</v>
      </c>
      <c r="AB10" s="9">
        <v>0.20300000000000001</v>
      </c>
      <c r="AC10" s="9">
        <v>611</v>
      </c>
      <c r="AD10" s="9">
        <v>46</v>
      </c>
      <c r="AE10" s="9">
        <v>6</v>
      </c>
      <c r="AF10" s="9">
        <v>17</v>
      </c>
      <c r="AG10" s="9">
        <v>29.7</v>
      </c>
      <c r="AH10" s="9">
        <v>26.7</v>
      </c>
      <c r="AI10" s="9">
        <v>0.9</v>
      </c>
      <c r="AJ10" s="9">
        <v>0.8</v>
      </c>
      <c r="AK10" s="9">
        <v>415.8</v>
      </c>
      <c r="AL10" s="9">
        <v>416.7</v>
      </c>
      <c r="AM10" s="9">
        <v>0.82</v>
      </c>
      <c r="AN10" s="9">
        <v>0.82</v>
      </c>
      <c r="AO10" s="9">
        <v>7.234</v>
      </c>
      <c r="AP10" s="9">
        <v>2.7650000000000001</v>
      </c>
      <c r="AQ10" s="9">
        <v>2.6230000000000002</v>
      </c>
      <c r="AR10" s="9">
        <v>1.976</v>
      </c>
      <c r="AS10" s="9">
        <v>23.04154074048034</v>
      </c>
      <c r="AT10" s="9">
        <v>5.1923687572880281E-2</v>
      </c>
      <c r="AU10" s="9">
        <v>265.72904176435617</v>
      </c>
      <c r="AV10" s="9">
        <v>12.08852437926439</v>
      </c>
      <c r="AW10" s="9">
        <v>19.829648850610589</v>
      </c>
      <c r="AX10" s="9">
        <v>32.986669159545897</v>
      </c>
      <c r="AY10" s="9">
        <v>17.040497388297542</v>
      </c>
      <c r="AZ10" s="9">
        <v>2.7388412301631294E-2</v>
      </c>
      <c r="BA10" s="9">
        <v>263.11821200074752</v>
      </c>
      <c r="BB10" s="9">
        <v>7.1305069486800221</v>
      </c>
      <c r="BC10" s="9">
        <v>21.866160723355065</v>
      </c>
      <c r="BD10" s="9">
        <v>28.044695836545898</v>
      </c>
      <c r="BE10" s="11">
        <v>482.08</v>
      </c>
      <c r="BF10" s="11">
        <v>60</v>
      </c>
      <c r="BG10" s="10">
        <v>189</v>
      </c>
      <c r="BH10" s="10">
        <v>1.02</v>
      </c>
      <c r="BI10" s="10">
        <v>422</v>
      </c>
      <c r="BJ10" s="10">
        <v>6.76</v>
      </c>
      <c r="BK10" s="10">
        <v>1202.76</v>
      </c>
      <c r="BL10" s="9">
        <v>69.7</v>
      </c>
      <c r="BM10" s="9">
        <v>31</v>
      </c>
      <c r="BN10" s="9">
        <v>103</v>
      </c>
      <c r="BO10" s="9">
        <v>36</v>
      </c>
      <c r="BP10" s="9">
        <v>35.700000000000003</v>
      </c>
      <c r="BQ10" s="9">
        <v>0.8</v>
      </c>
      <c r="BR10" s="9">
        <v>0.8</v>
      </c>
      <c r="BS10" s="9">
        <v>290.52808376429698</v>
      </c>
      <c r="BT10" s="9">
        <v>324.22649161672069</v>
      </c>
      <c r="BU10" s="9">
        <v>0.84</v>
      </c>
      <c r="BV10" s="9">
        <v>0.82</v>
      </c>
      <c r="BW10" s="9">
        <v>47.573</v>
      </c>
      <c r="BX10" s="9">
        <v>29.614000000000001</v>
      </c>
      <c r="BY10" s="9">
        <v>17.413</v>
      </c>
      <c r="BZ10" s="9">
        <v>9.6519999999999992</v>
      </c>
      <c r="CA10" s="9">
        <v>23.04154074048034</v>
      </c>
      <c r="CB10" s="9">
        <v>5.1923687572880281E-2</v>
      </c>
      <c r="CC10" s="9">
        <v>265.72904176435617</v>
      </c>
      <c r="CD10" s="9">
        <v>12.08852437926439</v>
      </c>
      <c r="CE10" s="9">
        <v>19.829648850610589</v>
      </c>
      <c r="CF10" s="9">
        <v>33.738095836545895</v>
      </c>
      <c r="CG10" s="9">
        <v>16.777254958073406</v>
      </c>
      <c r="CH10" s="9">
        <v>5.2360667556516402E-2</v>
      </c>
      <c r="CI10" s="9">
        <v>277.43405789512974</v>
      </c>
      <c r="CJ10" s="9">
        <v>12.132692903350948</v>
      </c>
      <c r="CK10" s="9">
        <v>19.77661872099052</v>
      </c>
      <c r="CL10" s="9">
        <v>31.995124996091796</v>
      </c>
      <c r="CM10" s="9">
        <v>694.69640000000004</v>
      </c>
      <c r="CN10" s="9">
        <v>204.2527</v>
      </c>
      <c r="CO10" s="9">
        <f>AVERAGE(CO8:CO9)</f>
        <v>435.00720000000001</v>
      </c>
      <c r="CP10" s="9">
        <v>2.9401999999999999</v>
      </c>
      <c r="CQ10" s="9">
        <v>694.69640000000004</v>
      </c>
      <c r="CR10" s="9">
        <v>47.165999999999997</v>
      </c>
      <c r="CS10" s="9">
        <v>5221</v>
      </c>
      <c r="CT10" s="9">
        <v>29.3</v>
      </c>
      <c r="CU10" s="9">
        <v>1.2</v>
      </c>
      <c r="CV10" s="9">
        <v>344.40992406449317</v>
      </c>
      <c r="CW10" s="9">
        <v>0.83</v>
      </c>
      <c r="CX10" s="9">
        <v>29.726567626427837</v>
      </c>
      <c r="CY10" s="9">
        <v>0.65824168891283463</v>
      </c>
      <c r="CZ10" s="9">
        <v>332.74319054284103</v>
      </c>
      <c r="DA10" s="9">
        <v>15.31059900181592</v>
      </c>
      <c r="DB10" s="9">
        <v>2.530088381834299</v>
      </c>
      <c r="DC10" s="9">
        <v>37.389163970947266</v>
      </c>
      <c r="DD10" s="9">
        <v>93</v>
      </c>
      <c r="DE10" s="9">
        <v>97</v>
      </c>
      <c r="DF10" s="9">
        <v>124</v>
      </c>
      <c r="DG10" s="9">
        <v>79</v>
      </c>
      <c r="DH10" s="9">
        <v>21</v>
      </c>
      <c r="DI10" s="9">
        <v>9</v>
      </c>
      <c r="DJ10" s="9">
        <v>49.116</v>
      </c>
      <c r="DK10" s="9">
        <v>36.75</v>
      </c>
      <c r="DL10" s="9">
        <v>15.11</v>
      </c>
      <c r="DM10" s="9">
        <v>20.65</v>
      </c>
      <c r="DN10" s="9">
        <f t="shared" si="0"/>
        <v>21.64</v>
      </c>
      <c r="DO10" s="9">
        <f t="shared" si="1"/>
        <v>0.41115646258503402</v>
      </c>
    </row>
    <row r="11" spans="1:119" x14ac:dyDescent="0.25">
      <c r="A11" s="12">
        <v>1</v>
      </c>
      <c r="B11" s="12">
        <v>4</v>
      </c>
      <c r="C11" s="14" t="s">
        <v>207</v>
      </c>
      <c r="D11" s="8" t="s">
        <v>222</v>
      </c>
      <c r="E11" s="8">
        <v>1</v>
      </c>
      <c r="F11" s="9">
        <v>29</v>
      </c>
      <c r="G11" s="9">
        <v>0</v>
      </c>
      <c r="H11" s="9">
        <v>4</v>
      </c>
      <c r="I11" s="9">
        <v>13.1</v>
      </c>
      <c r="J11" s="9">
        <v>0.35</v>
      </c>
      <c r="K11" s="9">
        <v>12.7</v>
      </c>
      <c r="L11" s="9">
        <v>0.2</v>
      </c>
      <c r="M11" s="9">
        <v>0.245</v>
      </c>
      <c r="N11" s="9">
        <v>0.19</v>
      </c>
      <c r="O11" s="9">
        <v>0.12</v>
      </c>
      <c r="P11" s="9">
        <v>7.5999999999999998E-2</v>
      </c>
      <c r="Q11" s="9">
        <v>11.756422539483697</v>
      </c>
      <c r="R11" s="9">
        <v>0.28729512991092859</v>
      </c>
      <c r="S11" s="9">
        <v>246.17672543491994</v>
      </c>
      <c r="T11" s="9">
        <v>4.8383522384043642</v>
      </c>
      <c r="U11" s="9">
        <v>1.6779124610169909</v>
      </c>
      <c r="V11" s="9">
        <v>29.97871208190918</v>
      </c>
      <c r="W11" s="9">
        <v>170.20910000000001</v>
      </c>
      <c r="X11" s="9">
        <v>11.344200000000001</v>
      </c>
      <c r="Y11" s="9">
        <v>35.6387</v>
      </c>
      <c r="Z11" s="9">
        <v>0.66649999999999998</v>
      </c>
      <c r="AA11" s="9">
        <v>170.20910000000001</v>
      </c>
      <c r="AB11" s="9">
        <v>0.59399999999999997</v>
      </c>
      <c r="AC11" s="9">
        <v>956</v>
      </c>
      <c r="AD11" s="9">
        <v>34.799999999999997</v>
      </c>
      <c r="AE11" s="9">
        <v>8</v>
      </c>
      <c r="AF11" s="9">
        <v>21</v>
      </c>
      <c r="AG11" s="9">
        <v>39.1</v>
      </c>
      <c r="AH11" s="9">
        <v>22.5</v>
      </c>
      <c r="AI11" s="9">
        <v>0.8</v>
      </c>
      <c r="AJ11" s="9">
        <v>0.7</v>
      </c>
      <c r="AK11" s="9">
        <v>240.2</v>
      </c>
      <c r="AL11" s="9">
        <v>207.9</v>
      </c>
      <c r="AM11" s="9">
        <v>0.85</v>
      </c>
      <c r="AN11" s="9">
        <v>0.84</v>
      </c>
      <c r="AO11" s="9">
        <v>10.32</v>
      </c>
      <c r="AP11" s="9">
        <v>4.7610000000000001</v>
      </c>
      <c r="AQ11" s="9">
        <v>5.3410000000000002</v>
      </c>
      <c r="AR11" s="9">
        <v>1.337</v>
      </c>
      <c r="AS11" s="9">
        <v>19.223251186386907</v>
      </c>
      <c r="AT11" s="9">
        <v>5.4234491808338448E-2</v>
      </c>
      <c r="AU11" s="9">
        <v>292.63761385358509</v>
      </c>
      <c r="AV11" s="9">
        <v>10.211413490556328</v>
      </c>
      <c r="AW11" s="9">
        <v>16.786201852265251</v>
      </c>
      <c r="AX11" s="9">
        <v>32.966352081909179</v>
      </c>
      <c r="AY11" s="9">
        <v>16.553713772075447</v>
      </c>
      <c r="AZ11" s="9">
        <v>3.8757404365012724E-2</v>
      </c>
      <c r="BA11" s="9">
        <v>288.74756859548057</v>
      </c>
      <c r="BB11" s="9">
        <v>7.8200598726304333</v>
      </c>
      <c r="BC11" s="9">
        <v>17.922969554854699</v>
      </c>
      <c r="BD11" s="9">
        <v>28.02437875890918</v>
      </c>
      <c r="BE11" s="9">
        <v>337.53496666666666</v>
      </c>
      <c r="BF11" s="9">
        <v>41.692900000000002</v>
      </c>
      <c r="BG11" s="9">
        <v>130.98203333333333</v>
      </c>
      <c r="BH11" s="9">
        <v>1.2604</v>
      </c>
      <c r="BI11" s="9">
        <v>337.53496666666666</v>
      </c>
      <c r="BJ11" s="9">
        <v>4.0933333333333337</v>
      </c>
      <c r="BK11" s="9">
        <v>1112</v>
      </c>
      <c r="BL11" s="9">
        <v>78.599999999999994</v>
      </c>
      <c r="BM11" s="9">
        <v>22</v>
      </c>
      <c r="BN11" s="9">
        <v>75</v>
      </c>
      <c r="BO11" s="9">
        <v>42.1</v>
      </c>
      <c r="BP11" s="9">
        <v>35</v>
      </c>
      <c r="BQ11" s="9">
        <v>1.1000000000000001</v>
      </c>
      <c r="BR11" s="9">
        <v>1</v>
      </c>
      <c r="BS11" s="9">
        <v>212.51772329711667</v>
      </c>
      <c r="BT11" s="9">
        <v>172.39847386418757</v>
      </c>
      <c r="BU11" s="9">
        <v>0.84</v>
      </c>
      <c r="BV11" s="9">
        <v>0.84</v>
      </c>
      <c r="BW11" s="9">
        <v>36.914000000000001</v>
      </c>
      <c r="BX11" s="9">
        <v>20.158999999999999</v>
      </c>
      <c r="BY11" s="9">
        <v>11.065</v>
      </c>
      <c r="BZ11" s="9">
        <v>6.9249999999999998</v>
      </c>
      <c r="CA11" s="9">
        <v>19.223251186386907</v>
      </c>
      <c r="CB11" s="9">
        <v>5.4234491808338448E-2</v>
      </c>
      <c r="CC11" s="9">
        <v>292.63761385358509</v>
      </c>
      <c r="CD11" s="9">
        <v>10.211413490556328</v>
      </c>
      <c r="CE11" s="9">
        <v>16.786201852265251</v>
      </c>
      <c r="CF11" s="9">
        <v>33.717778758909176</v>
      </c>
      <c r="CG11" s="9">
        <v>16.553713772075447</v>
      </c>
      <c r="CH11" s="9">
        <v>3.8757404365012724E-2</v>
      </c>
      <c r="CI11" s="9">
        <v>288.74756859548057</v>
      </c>
      <c r="CJ11" s="9">
        <v>7.8200598726304333</v>
      </c>
      <c r="CK11" s="9">
        <v>17.922969554854699</v>
      </c>
      <c r="CL11" s="9">
        <v>31.954490840818359</v>
      </c>
      <c r="CM11" s="9">
        <f>AVERAGE(CM12:CM13)</f>
        <v>386.52224999999999</v>
      </c>
      <c r="CN11" s="9">
        <f>AVERAGE(CN12:CN13)</f>
        <v>219.33175</v>
      </c>
      <c r="CO11" s="9">
        <v>403.30419999999998</v>
      </c>
      <c r="CP11" s="9">
        <f>AVERAGE(CP12:CP13)</f>
        <v>5.6547000000000001</v>
      </c>
      <c r="CQ11" s="9">
        <f>AVERAGE(CQ12:CQ13)</f>
        <v>386.52224999999999</v>
      </c>
      <c r="CR11" s="9">
        <f>AVERAGE(CR9:CR10)</f>
        <v>35.323999999999998</v>
      </c>
      <c r="CS11" s="9">
        <v>4370</v>
      </c>
      <c r="CT11" s="9">
        <v>27</v>
      </c>
      <c r="CU11" s="9">
        <v>1.5</v>
      </c>
      <c r="CV11" s="9">
        <v>265.50736704822253</v>
      </c>
      <c r="CW11" s="9">
        <v>0.84</v>
      </c>
      <c r="CX11" s="9">
        <v>24.373532798881833</v>
      </c>
      <c r="CY11" s="9">
        <v>0.43205705376965764</v>
      </c>
      <c r="CZ11" s="9">
        <v>320.24783650854749</v>
      </c>
      <c r="DA11" s="9">
        <v>13.583002453001249</v>
      </c>
      <c r="DB11" s="9">
        <v>3.2267742623902071</v>
      </c>
      <c r="DC11" s="9">
        <v>38.534805297851563</v>
      </c>
      <c r="DD11" s="9">
        <v>94</v>
      </c>
      <c r="DE11" s="9">
        <v>99</v>
      </c>
      <c r="DF11" s="9">
        <v>128</v>
      </c>
      <c r="DG11" s="9">
        <v>82</v>
      </c>
      <c r="DH11" s="9">
        <v>24</v>
      </c>
      <c r="DI11" s="9">
        <v>10</v>
      </c>
      <c r="DJ11" s="9">
        <v>57.112000000000002</v>
      </c>
      <c r="DK11" s="9">
        <v>32.67</v>
      </c>
      <c r="DL11" s="9">
        <v>14.55</v>
      </c>
      <c r="DM11" s="9">
        <v>15.87</v>
      </c>
      <c r="DN11" s="9">
        <f t="shared" si="0"/>
        <v>18.12</v>
      </c>
      <c r="DO11" s="9">
        <f t="shared" si="1"/>
        <v>0.44536271808999084</v>
      </c>
    </row>
    <row r="12" spans="1:119" x14ac:dyDescent="0.25">
      <c r="A12" s="12">
        <v>2</v>
      </c>
      <c r="B12" s="12">
        <v>4</v>
      </c>
      <c r="C12" s="14" t="s">
        <v>207</v>
      </c>
      <c r="D12" s="8" t="s">
        <v>222</v>
      </c>
      <c r="E12" s="8">
        <v>2</v>
      </c>
      <c r="F12" s="9">
        <v>36</v>
      </c>
      <c r="G12" s="9">
        <v>0</v>
      </c>
      <c r="H12" s="9">
        <v>4</v>
      </c>
      <c r="I12" s="9">
        <v>22.3</v>
      </c>
      <c r="J12" s="9">
        <v>0.25</v>
      </c>
      <c r="K12" s="9">
        <v>18.5</v>
      </c>
      <c r="L12" s="9">
        <v>0.1</v>
      </c>
      <c r="M12" s="9">
        <v>0.24300000000000002</v>
      </c>
      <c r="N12" s="9">
        <v>0.16700000000000001</v>
      </c>
      <c r="O12" s="9">
        <v>0.106</v>
      </c>
      <c r="P12" s="9">
        <v>7.8E-2</v>
      </c>
      <c r="Q12" s="9">
        <v>12.160040450629458</v>
      </c>
      <c r="R12" s="9">
        <v>0.20682997911612719</v>
      </c>
      <c r="S12" s="9">
        <v>227.94314463802112</v>
      </c>
      <c r="T12" s="9">
        <v>3.6677929700604883</v>
      </c>
      <c r="U12" s="9">
        <v>1.7436403254221591</v>
      </c>
      <c r="V12" s="9">
        <v>29.543176651000977</v>
      </c>
      <c r="W12" s="9">
        <v>125.3916</v>
      </c>
      <c r="X12" s="9">
        <v>4.1402999999999999</v>
      </c>
      <c r="Y12" s="9">
        <v>13.007199999999999</v>
      </c>
      <c r="Z12" s="9">
        <v>0.33019999999999999</v>
      </c>
      <c r="AA12" s="9">
        <v>125.3916</v>
      </c>
      <c r="AB12" s="9">
        <v>0.107</v>
      </c>
      <c r="AC12" s="9">
        <v>733</v>
      </c>
      <c r="AD12" s="9">
        <v>61</v>
      </c>
      <c r="AE12" s="9">
        <v>9</v>
      </c>
      <c r="AF12" s="9">
        <v>22</v>
      </c>
      <c r="AG12" s="9">
        <v>40.1</v>
      </c>
      <c r="AH12" s="9">
        <v>31.2</v>
      </c>
      <c r="AI12" s="9">
        <v>0.85</v>
      </c>
      <c r="AJ12" s="9">
        <v>0.75</v>
      </c>
      <c r="AK12" s="9">
        <v>252</v>
      </c>
      <c r="AL12" s="9">
        <v>246.8</v>
      </c>
      <c r="AM12" s="9">
        <v>0.85</v>
      </c>
      <c r="AN12" s="9">
        <v>0.83</v>
      </c>
      <c r="AO12" s="9">
        <v>14.371</v>
      </c>
      <c r="AP12" s="9">
        <v>6.5119999999999996</v>
      </c>
      <c r="AQ12" s="9">
        <v>7.181</v>
      </c>
      <c r="AR12" s="9">
        <v>1.5629999999999999</v>
      </c>
      <c r="AS12" s="9">
        <v>24.997800204129629</v>
      </c>
      <c r="AT12" s="9">
        <v>6.5515796388125006E-2</v>
      </c>
      <c r="AU12" s="9">
        <v>285.60337661874985</v>
      </c>
      <c r="AV12" s="9">
        <v>12.334505034067053</v>
      </c>
      <c r="AW12" s="9">
        <v>16.773720459162117</v>
      </c>
      <c r="AX12" s="9">
        <v>32.530816651000976</v>
      </c>
      <c r="AY12" s="9">
        <v>17.740980710135542</v>
      </c>
      <c r="AZ12" s="9">
        <v>6.3157338285314765E-2</v>
      </c>
      <c r="BA12" s="9">
        <v>296.16739128478656</v>
      </c>
      <c r="BB12" s="9">
        <v>11.674377605504645</v>
      </c>
      <c r="BC12" s="9">
        <v>16.322439642020974</v>
      </c>
      <c r="BD12" s="9">
        <v>27.588843328000976</v>
      </c>
      <c r="BE12" s="9">
        <v>304.74349999999998</v>
      </c>
      <c r="BF12" s="9">
        <v>22.775700000000001</v>
      </c>
      <c r="BG12" s="9">
        <v>71.552033333333341</v>
      </c>
      <c r="BH12" s="9">
        <v>0.75666666666666671</v>
      </c>
      <c r="BI12" s="9">
        <v>304.74349999999998</v>
      </c>
      <c r="BJ12" s="9">
        <v>1.3456666666666666</v>
      </c>
      <c r="BK12" s="9">
        <v>1601.3333333333333</v>
      </c>
      <c r="BL12" s="9">
        <v>76.5</v>
      </c>
      <c r="BM12" s="9">
        <v>21</v>
      </c>
      <c r="BN12" s="9">
        <v>69</v>
      </c>
      <c r="BO12" s="9">
        <v>37.1</v>
      </c>
      <c r="BP12" s="9">
        <v>39.5</v>
      </c>
      <c r="BQ12" s="9">
        <v>1.1000000000000001</v>
      </c>
      <c r="BR12" s="9">
        <v>0.9</v>
      </c>
      <c r="BS12" s="9">
        <v>230.67487711071743</v>
      </c>
      <c r="BT12" s="9">
        <v>182.2259391027635</v>
      </c>
      <c r="BU12" s="9">
        <v>0.84</v>
      </c>
      <c r="BV12" s="9">
        <v>0.83</v>
      </c>
      <c r="BW12" s="9">
        <v>40.121000000000002</v>
      </c>
      <c r="BX12" s="9">
        <v>30.198</v>
      </c>
      <c r="BY12" s="9">
        <v>12.454000000000001</v>
      </c>
      <c r="BZ12" s="9">
        <v>7.0129999999999999</v>
      </c>
      <c r="CA12" s="9">
        <v>24.997800204129629</v>
      </c>
      <c r="CB12" s="9">
        <v>6.5515796388125006E-2</v>
      </c>
      <c r="CC12" s="9">
        <v>285.60337661874985</v>
      </c>
      <c r="CD12" s="9">
        <v>12.334505034067053</v>
      </c>
      <c r="CE12" s="9">
        <v>16.773720459162117</v>
      </c>
      <c r="CF12" s="9">
        <v>33.282243328000973</v>
      </c>
      <c r="CG12" s="9">
        <v>17.740980710135542</v>
      </c>
      <c r="CH12" s="9">
        <v>6.3157338285314765E-2</v>
      </c>
      <c r="CI12" s="9">
        <v>296.16739128478656</v>
      </c>
      <c r="CJ12" s="9">
        <v>11.674377605504645</v>
      </c>
      <c r="CK12" s="9">
        <v>16.322439642020974</v>
      </c>
      <c r="CL12" s="9">
        <v>31.083419979001953</v>
      </c>
      <c r="CM12" s="9">
        <v>440.30009999999999</v>
      </c>
      <c r="CN12" s="9">
        <v>255.24469999999999</v>
      </c>
      <c r="CO12" s="9">
        <v>401.87490000000003</v>
      </c>
      <c r="CP12" s="9">
        <v>5.7971000000000004</v>
      </c>
      <c r="CQ12" s="9">
        <v>440.30009999999999</v>
      </c>
      <c r="CR12" s="9">
        <f>AVERAGE(CR13:CR14)</f>
        <v>78.695999999999998</v>
      </c>
      <c r="CS12" s="9">
        <v>2940</v>
      </c>
      <c r="CT12" s="9">
        <v>27.8</v>
      </c>
      <c r="CU12" s="9">
        <v>1.5</v>
      </c>
      <c r="CV12" s="9">
        <v>270.58141863344827</v>
      </c>
      <c r="CW12" s="9">
        <v>0.84</v>
      </c>
      <c r="CX12" s="9">
        <v>24.579282840921071</v>
      </c>
      <c r="CY12" s="9">
        <v>0.43211716083681484</v>
      </c>
      <c r="CZ12" s="9">
        <v>319.39644923983155</v>
      </c>
      <c r="DA12" s="9">
        <v>13.581740427013512</v>
      </c>
      <c r="DB12" s="9">
        <v>3.2260795155931499</v>
      </c>
      <c r="DC12" s="9">
        <v>38.531909942626953</v>
      </c>
      <c r="DD12" s="9">
        <v>94</v>
      </c>
      <c r="DE12" s="9">
        <v>99</v>
      </c>
      <c r="DF12" s="9">
        <v>128</v>
      </c>
      <c r="DG12" s="9">
        <v>85</v>
      </c>
      <c r="DH12" s="9">
        <v>20</v>
      </c>
      <c r="DI12" s="9">
        <v>9</v>
      </c>
      <c r="DJ12" s="9">
        <v>56.54</v>
      </c>
      <c r="DK12" s="9">
        <v>31.29</v>
      </c>
      <c r="DL12" s="9">
        <v>13.95</v>
      </c>
      <c r="DM12" s="9">
        <v>14.69</v>
      </c>
      <c r="DN12" s="9">
        <f t="shared" si="0"/>
        <v>17.34</v>
      </c>
      <c r="DO12" s="9">
        <f t="shared" si="1"/>
        <v>0.44582933844678813</v>
      </c>
    </row>
    <row r="13" spans="1:119" x14ac:dyDescent="0.25">
      <c r="A13" s="12">
        <v>3</v>
      </c>
      <c r="B13" s="12">
        <v>4</v>
      </c>
      <c r="C13" s="14" t="s">
        <v>207</v>
      </c>
      <c r="D13" s="8" t="s">
        <v>222</v>
      </c>
      <c r="E13" s="8">
        <v>3</v>
      </c>
      <c r="F13" s="9">
        <v>31.3</v>
      </c>
      <c r="G13" s="9">
        <v>0</v>
      </c>
      <c r="H13" s="9">
        <v>3</v>
      </c>
      <c r="I13" s="9">
        <v>21.4</v>
      </c>
      <c r="J13" s="9">
        <v>0.3</v>
      </c>
      <c r="K13" s="9">
        <v>17.899999999999999</v>
      </c>
      <c r="L13" s="9">
        <v>0.3</v>
      </c>
      <c r="M13" s="9">
        <v>0.20400000000000001</v>
      </c>
      <c r="N13" s="9">
        <v>0.14599999999999999</v>
      </c>
      <c r="O13" s="9">
        <v>9.4E-2</v>
      </c>
      <c r="P13" s="9">
        <v>6.9000000000000006E-2</v>
      </c>
      <c r="Q13" s="9">
        <v>14.680979702567573</v>
      </c>
      <c r="R13" s="9">
        <v>0.23069370825485294</v>
      </c>
      <c r="S13" s="9">
        <v>222.12431418304081</v>
      </c>
      <c r="T13" s="9">
        <v>4.0783111012083673</v>
      </c>
      <c r="U13" s="9">
        <v>1.746805408171523</v>
      </c>
      <c r="V13" s="9">
        <v>29.534172058105469</v>
      </c>
      <c r="W13" s="9">
        <v>100.3815</v>
      </c>
      <c r="X13" s="9">
        <v>3.2298</v>
      </c>
      <c r="Y13" s="9">
        <v>10.146800000000001</v>
      </c>
      <c r="Z13" s="9">
        <v>0.32179999999999997</v>
      </c>
      <c r="AA13" s="9">
        <v>100.3815</v>
      </c>
      <c r="AB13" s="9">
        <v>8.2000000000000003E-2</v>
      </c>
      <c r="AC13" s="9">
        <v>640</v>
      </c>
      <c r="AD13" s="9">
        <v>60.9</v>
      </c>
      <c r="AE13" s="9">
        <v>8</v>
      </c>
      <c r="AF13" s="9">
        <v>24</v>
      </c>
      <c r="AG13" s="9">
        <v>40.1</v>
      </c>
      <c r="AH13" s="9">
        <v>31.8</v>
      </c>
      <c r="AI13" s="9">
        <v>0.6</v>
      </c>
      <c r="AJ13" s="9">
        <v>0.6</v>
      </c>
      <c r="AK13" s="9">
        <v>280.60000000000002</v>
      </c>
      <c r="AL13" s="9">
        <v>251.7</v>
      </c>
      <c r="AM13" s="9">
        <v>0.82</v>
      </c>
      <c r="AN13" s="9">
        <v>0.85</v>
      </c>
      <c r="AO13" s="9">
        <v>12.321</v>
      </c>
      <c r="AP13" s="9">
        <v>5.9119999999999999</v>
      </c>
      <c r="AQ13" s="9">
        <v>6.1159999999999997</v>
      </c>
      <c r="AR13" s="9">
        <v>1.8759999999999999</v>
      </c>
      <c r="AS13" s="9">
        <v>24.945472256770625</v>
      </c>
      <c r="AT13" s="9">
        <v>6.833511561488273E-2</v>
      </c>
      <c r="AU13" s="9">
        <v>289.15686869412025</v>
      </c>
      <c r="AV13" s="9">
        <v>12.292769297689237</v>
      </c>
      <c r="AW13" s="9">
        <v>16.097307453168881</v>
      </c>
      <c r="AX13" s="9">
        <v>32.521812058105468</v>
      </c>
      <c r="AY13" s="9">
        <v>17.923075192743728</v>
      </c>
      <c r="AZ13" s="9">
        <v>6.3089008220907294E-2</v>
      </c>
      <c r="BA13" s="9">
        <v>297.3395162778362</v>
      </c>
      <c r="BB13" s="9">
        <v>11.247150130834092</v>
      </c>
      <c r="BC13" s="9">
        <v>16.077758884920094</v>
      </c>
      <c r="BD13" s="9">
        <v>27.579838735105469</v>
      </c>
      <c r="BE13" s="9">
        <f t="shared" ref="BE13:BK13" si="6">AVERAGE(BE11:BE12)</f>
        <v>321.13923333333332</v>
      </c>
      <c r="BF13" s="9">
        <f t="shared" si="6"/>
        <v>32.234300000000005</v>
      </c>
      <c r="BG13" s="9">
        <f t="shared" si="6"/>
        <v>101.26703333333333</v>
      </c>
      <c r="BH13" s="9">
        <f t="shared" si="6"/>
        <v>1.0085333333333333</v>
      </c>
      <c r="BI13" s="9">
        <f t="shared" si="6"/>
        <v>321.13923333333332</v>
      </c>
      <c r="BJ13" s="9">
        <f t="shared" si="6"/>
        <v>2.7195</v>
      </c>
      <c r="BK13" s="9">
        <f t="shared" si="6"/>
        <v>1356.6666666666665</v>
      </c>
      <c r="BL13" s="9">
        <v>73.5</v>
      </c>
      <c r="BM13" s="9">
        <v>20</v>
      </c>
      <c r="BN13" s="9">
        <v>69</v>
      </c>
      <c r="BO13" s="9">
        <v>33.6</v>
      </c>
      <c r="BP13" s="9">
        <v>39.5</v>
      </c>
      <c r="BQ13" s="9">
        <v>1.2</v>
      </c>
      <c r="BR13" s="9">
        <v>1</v>
      </c>
      <c r="BS13" s="9">
        <v>223.47693733169802</v>
      </c>
      <c r="BT13" s="9">
        <v>188.03453858994482</v>
      </c>
      <c r="BU13" s="9">
        <v>0.84</v>
      </c>
      <c r="BV13" s="9">
        <v>0.83</v>
      </c>
      <c r="BW13" s="9">
        <v>41.573</v>
      </c>
      <c r="BX13" s="9">
        <v>28.684000000000001</v>
      </c>
      <c r="BY13" s="9">
        <v>17.852</v>
      </c>
      <c r="BZ13" s="9">
        <v>7.1230000000000002</v>
      </c>
      <c r="CA13" s="9">
        <v>24.945472256770625</v>
      </c>
      <c r="CB13" s="9">
        <v>6.833511561488273E-2</v>
      </c>
      <c r="CC13" s="9">
        <v>289.15686869412025</v>
      </c>
      <c r="CD13" s="9">
        <v>12.292769297689237</v>
      </c>
      <c r="CE13" s="9">
        <v>16.097307453168881</v>
      </c>
      <c r="CF13" s="9">
        <v>33.273238735105465</v>
      </c>
      <c r="CG13" s="9">
        <v>17.923075192743728</v>
      </c>
      <c r="CH13" s="9">
        <v>6.3089008220907294E-2</v>
      </c>
      <c r="CI13" s="9">
        <v>297.3395162778362</v>
      </c>
      <c r="CJ13" s="9">
        <v>11.247150130834092</v>
      </c>
      <c r="CK13" s="9">
        <v>16.077758884920094</v>
      </c>
      <c r="CL13" s="9">
        <v>31.065410793210937</v>
      </c>
      <c r="CM13" s="9">
        <v>332.74439999999998</v>
      </c>
      <c r="CN13" s="9">
        <v>183.4188</v>
      </c>
      <c r="CO13" s="9">
        <v>576.22720000000004</v>
      </c>
      <c r="CP13" s="9">
        <v>5.5122999999999998</v>
      </c>
      <c r="CQ13" s="9">
        <v>332.74439999999998</v>
      </c>
      <c r="CR13" s="9">
        <v>79.408000000000001</v>
      </c>
      <c r="CS13" s="9">
        <v>4025</v>
      </c>
      <c r="CT13" s="9">
        <v>28</v>
      </c>
      <c r="CU13" s="9">
        <v>1.5</v>
      </c>
      <c r="CV13" s="9">
        <v>275.61951264135126</v>
      </c>
      <c r="CW13" s="9">
        <v>0.84</v>
      </c>
      <c r="CX13" s="9">
        <v>24.491811538491682</v>
      </c>
      <c r="CY13" s="9">
        <v>0.43249201770667345</v>
      </c>
      <c r="CZ13" s="9">
        <v>319.84735394143388</v>
      </c>
      <c r="DA13" s="9">
        <v>13.589583836568901</v>
      </c>
      <c r="DB13" s="9">
        <v>3.2254204115519713</v>
      </c>
      <c r="DC13" s="9">
        <v>38.530315399169922</v>
      </c>
      <c r="DD13" s="9">
        <v>94</v>
      </c>
      <c r="DE13" s="9">
        <v>99</v>
      </c>
      <c r="DF13" s="9">
        <v>128</v>
      </c>
      <c r="DG13" s="9">
        <v>70</v>
      </c>
      <c r="DH13" s="9">
        <v>23</v>
      </c>
      <c r="DI13" s="9">
        <v>10</v>
      </c>
      <c r="DJ13" s="9">
        <v>57.47</v>
      </c>
      <c r="DK13" s="9">
        <v>32.07</v>
      </c>
      <c r="DL13" s="9">
        <v>14.8</v>
      </c>
      <c r="DM13" s="9">
        <v>15.49</v>
      </c>
      <c r="DN13" s="9">
        <f t="shared" si="0"/>
        <v>17.27</v>
      </c>
      <c r="DO13" s="9">
        <f t="shared" si="1"/>
        <v>0.46149048955410044</v>
      </c>
    </row>
    <row r="14" spans="1:119" x14ac:dyDescent="0.25">
      <c r="A14" s="12">
        <v>1</v>
      </c>
      <c r="B14" s="12">
        <v>5</v>
      </c>
      <c r="C14" s="14" t="s">
        <v>208</v>
      </c>
      <c r="D14" s="8" t="s">
        <v>222</v>
      </c>
      <c r="E14" s="8">
        <v>1</v>
      </c>
      <c r="F14" s="9">
        <v>37</v>
      </c>
      <c r="G14" s="9">
        <v>0</v>
      </c>
      <c r="H14" s="9">
        <v>3</v>
      </c>
      <c r="I14" s="9">
        <v>27.6</v>
      </c>
      <c r="J14" s="9">
        <v>0.15</v>
      </c>
      <c r="K14" s="9">
        <v>21.1</v>
      </c>
      <c r="L14" s="9">
        <v>0.1</v>
      </c>
      <c r="M14" s="9">
        <v>0.25</v>
      </c>
      <c r="N14" s="9">
        <v>0.13700000000000001</v>
      </c>
      <c r="O14" s="9">
        <v>0.11</v>
      </c>
      <c r="P14" s="9">
        <v>6.4000000000000001E-2</v>
      </c>
      <c r="Q14" s="9">
        <v>13.969543058518104</v>
      </c>
      <c r="R14" s="9">
        <v>0.23869576163030654</v>
      </c>
      <c r="S14" s="9">
        <v>231.35716054816049</v>
      </c>
      <c r="T14" s="9">
        <v>4.2135687048867236</v>
      </c>
      <c r="U14" s="9">
        <v>1.7471262517546386</v>
      </c>
      <c r="V14" s="9">
        <v>29.521648406982422</v>
      </c>
      <c r="W14" s="9">
        <v>225.76679999999999</v>
      </c>
      <c r="X14" s="9">
        <v>9.6384000000000007</v>
      </c>
      <c r="Y14" s="9">
        <v>30.279900000000001</v>
      </c>
      <c r="Z14" s="9">
        <v>0.4269</v>
      </c>
      <c r="AA14" s="9">
        <v>225.76679999999999</v>
      </c>
      <c r="AB14" s="9">
        <v>0.32300000000000001</v>
      </c>
      <c r="AC14" s="9">
        <v>930</v>
      </c>
      <c r="AD14" s="9">
        <v>47.3</v>
      </c>
      <c r="AE14" s="9">
        <v>8</v>
      </c>
      <c r="AF14" s="9">
        <v>21</v>
      </c>
      <c r="AG14" s="9">
        <v>33.200000000000003</v>
      </c>
      <c r="AH14" s="9">
        <v>24.1</v>
      </c>
      <c r="AI14" s="9">
        <v>0.9</v>
      </c>
      <c r="AJ14" s="9">
        <v>0.9</v>
      </c>
      <c r="AK14" s="9">
        <v>332</v>
      </c>
      <c r="AL14" s="9">
        <v>319.60000000000002</v>
      </c>
      <c r="AM14" s="9">
        <v>0.83</v>
      </c>
      <c r="AN14" s="9">
        <v>0.85</v>
      </c>
      <c r="AO14" s="9">
        <v>9.3450000000000006</v>
      </c>
      <c r="AP14" s="9">
        <v>3.7210000000000001</v>
      </c>
      <c r="AQ14" s="9">
        <v>7.9210000000000003</v>
      </c>
      <c r="AR14" s="9">
        <v>2.2570000000000001</v>
      </c>
      <c r="AS14" s="9">
        <v>26.283942198563029</v>
      </c>
      <c r="AT14" s="9">
        <v>6.6724392650756151E-2</v>
      </c>
      <c r="AU14" s="9">
        <v>275.94298141924304</v>
      </c>
      <c r="AV14" s="9">
        <v>13.199034897374791</v>
      </c>
      <c r="AW14" s="9">
        <v>17.352499427178778</v>
      </c>
      <c r="AX14" s="9">
        <v>32.509288406982421</v>
      </c>
      <c r="AY14" s="9">
        <v>17.13304566902454</v>
      </c>
      <c r="AZ14" s="9">
        <v>4.6589332924330193E-2</v>
      </c>
      <c r="BA14" s="9">
        <v>257.56729744141234</v>
      </c>
      <c r="BB14" s="9">
        <v>11.989792547213318</v>
      </c>
      <c r="BC14" s="9">
        <v>22.272848997073897</v>
      </c>
      <c r="BD14" s="9">
        <v>27.567315083982422</v>
      </c>
      <c r="BE14" s="9">
        <v>365.99583333333334</v>
      </c>
      <c r="BF14" s="9">
        <v>63.027733333333337</v>
      </c>
      <c r="BG14" s="9">
        <v>198.00753333333333</v>
      </c>
      <c r="BH14" s="9">
        <v>1.7393666666666665</v>
      </c>
      <c r="BI14" s="9">
        <v>365.99583333333334</v>
      </c>
      <c r="BJ14" s="9">
        <v>8.5416666666666661</v>
      </c>
      <c r="BK14" s="9">
        <v>783.66666666666663</v>
      </c>
      <c r="BL14" s="9">
        <v>95.6</v>
      </c>
      <c r="BM14" s="9">
        <v>27</v>
      </c>
      <c r="BN14" s="9">
        <v>96</v>
      </c>
      <c r="BO14" s="9">
        <v>33</v>
      </c>
      <c r="BP14" s="9">
        <v>32.1</v>
      </c>
      <c r="BQ14" s="9">
        <v>1.1000000000000001</v>
      </c>
      <c r="BR14" s="9">
        <v>1</v>
      </c>
      <c r="BS14" s="9">
        <v>412.40075223848442</v>
      </c>
      <c r="BT14" s="9">
        <v>256.96774120462396</v>
      </c>
      <c r="BU14" s="9">
        <v>0.83</v>
      </c>
      <c r="BV14" s="9">
        <v>0.85</v>
      </c>
      <c r="BW14" s="9">
        <v>57.216000000000001</v>
      </c>
      <c r="BX14" s="9">
        <v>31.062999999999999</v>
      </c>
      <c r="BY14" s="9">
        <v>20.951000000000001</v>
      </c>
      <c r="BZ14" s="9">
        <v>11.052</v>
      </c>
      <c r="CA14" s="9">
        <v>26.283942198563029</v>
      </c>
      <c r="CB14" s="9">
        <v>6.6724392650756151E-2</v>
      </c>
      <c r="CC14" s="9">
        <v>275.94298141924304</v>
      </c>
      <c r="CD14" s="9">
        <v>13.199034897374791</v>
      </c>
      <c r="CE14" s="9">
        <v>17.352499427178778</v>
      </c>
      <c r="CF14" s="9">
        <v>33.260715083982419</v>
      </c>
      <c r="CG14" s="9">
        <v>17.13304566902454</v>
      </c>
      <c r="CH14" s="9">
        <v>4.6589332924330193E-2</v>
      </c>
      <c r="CI14" s="9">
        <v>257.56729744141234</v>
      </c>
      <c r="CJ14" s="9">
        <v>11.989792547213318</v>
      </c>
      <c r="CK14" s="9">
        <v>22.272848997073897</v>
      </c>
      <c r="CL14" s="9">
        <v>31.040363490964843</v>
      </c>
      <c r="CM14" s="9">
        <v>360.96469999999999</v>
      </c>
      <c r="CN14" s="9">
        <f>AVERAGE(CN15:CN16)</f>
        <v>264.73064999999997</v>
      </c>
      <c r="CO14" s="9">
        <v>594.75750000000005</v>
      </c>
      <c r="CP14" s="9">
        <v>5.2447999999999997</v>
      </c>
      <c r="CQ14" s="9">
        <v>360.96469999999999</v>
      </c>
      <c r="CR14" s="9">
        <v>77.983999999999995</v>
      </c>
      <c r="CS14" s="9">
        <v>2824</v>
      </c>
      <c r="CT14" s="9">
        <v>27.1</v>
      </c>
      <c r="CU14" s="9">
        <v>1.3</v>
      </c>
      <c r="CV14" s="9">
        <v>317.91672043974671</v>
      </c>
      <c r="CW14" s="9">
        <v>0.83</v>
      </c>
      <c r="CX14" s="9">
        <v>24.328379602111038</v>
      </c>
      <c r="CY14" s="9">
        <v>0.65762761093922351</v>
      </c>
      <c r="CZ14" s="9">
        <v>351.39785910950087</v>
      </c>
      <c r="DA14" s="9">
        <v>15.498236869298838</v>
      </c>
      <c r="DB14" s="9">
        <v>2.5531008477201604</v>
      </c>
      <c r="DC14" s="9">
        <v>37.173633575439453</v>
      </c>
      <c r="DD14" s="9">
        <v>95</v>
      </c>
      <c r="DE14" s="9">
        <v>101</v>
      </c>
      <c r="DF14" s="9">
        <v>128</v>
      </c>
      <c r="DG14" s="9">
        <v>100</v>
      </c>
      <c r="DH14" s="9">
        <v>15</v>
      </c>
      <c r="DI14" s="9">
        <v>6</v>
      </c>
      <c r="DJ14" s="9">
        <v>54.67</v>
      </c>
      <c r="DK14" s="9">
        <v>30.89</v>
      </c>
      <c r="DL14" s="9">
        <v>16.55</v>
      </c>
      <c r="DM14" s="9">
        <v>22.64</v>
      </c>
      <c r="DN14" s="9">
        <f t="shared" si="0"/>
        <v>14.34</v>
      </c>
      <c r="DO14" s="9">
        <f t="shared" si="1"/>
        <v>0.53577209452897379</v>
      </c>
    </row>
    <row r="15" spans="1:119" x14ac:dyDescent="0.25">
      <c r="A15" s="12">
        <v>2</v>
      </c>
      <c r="B15" s="12">
        <v>5</v>
      </c>
      <c r="C15" s="14" t="s">
        <v>208</v>
      </c>
      <c r="D15" s="8" t="s">
        <v>222</v>
      </c>
      <c r="E15" s="8">
        <v>2</v>
      </c>
      <c r="F15" s="9">
        <v>46.5</v>
      </c>
      <c r="G15" s="9">
        <v>0</v>
      </c>
      <c r="H15" s="9">
        <v>3</v>
      </c>
      <c r="I15" s="9">
        <v>27.7</v>
      </c>
      <c r="J15" s="9">
        <v>0.5</v>
      </c>
      <c r="K15" s="9">
        <v>14.3</v>
      </c>
      <c r="L15" s="9">
        <v>0.1</v>
      </c>
      <c r="M15" s="9">
        <v>0.41270000000000001</v>
      </c>
      <c r="N15" s="9">
        <v>0.129</v>
      </c>
      <c r="O15" s="9">
        <v>0.129</v>
      </c>
      <c r="P15" s="9">
        <v>7.0999999999999994E-2</v>
      </c>
      <c r="Q15" s="9">
        <v>13.167770698236778</v>
      </c>
      <c r="R15" s="9">
        <v>0.24450452742394135</v>
      </c>
      <c r="S15" s="9">
        <v>239.78926899682821</v>
      </c>
      <c r="T15" s="9">
        <v>4.3220283376539257</v>
      </c>
      <c r="U15" s="9">
        <v>1.7516215403138884</v>
      </c>
      <c r="V15" s="9">
        <v>29.52813720703125</v>
      </c>
      <c r="W15" s="9">
        <v>237.91130000000001</v>
      </c>
      <c r="X15" s="9">
        <v>10.400499999999999</v>
      </c>
      <c r="Y15" s="9">
        <v>32.674199999999999</v>
      </c>
      <c r="Z15" s="9">
        <v>0.43719999999999998</v>
      </c>
      <c r="AA15" s="9">
        <v>237.91130000000001</v>
      </c>
      <c r="AB15" s="9">
        <v>0.35699999999999998</v>
      </c>
      <c r="AC15" s="9">
        <v>981</v>
      </c>
      <c r="AD15" s="9">
        <v>55.7</v>
      </c>
      <c r="AE15" s="9">
        <v>10</v>
      </c>
      <c r="AF15" s="9">
        <v>27</v>
      </c>
      <c r="AG15" s="9">
        <v>37.299999999999997</v>
      </c>
      <c r="AH15" s="9">
        <v>28.3</v>
      </c>
      <c r="AI15" s="9">
        <v>1.2</v>
      </c>
      <c r="AJ15" s="9">
        <v>1.1000000000000001</v>
      </c>
      <c r="AK15" s="9">
        <v>298</v>
      </c>
      <c r="AL15" s="9">
        <v>302</v>
      </c>
      <c r="AM15" s="9">
        <v>0.85</v>
      </c>
      <c r="AN15" s="9">
        <v>0.83</v>
      </c>
      <c r="AO15" s="9">
        <v>12.24</v>
      </c>
      <c r="AP15" s="9">
        <v>6.7140000000000004</v>
      </c>
      <c r="AQ15" s="9">
        <v>7.9409999999999998</v>
      </c>
      <c r="AR15" s="9">
        <v>2.452</v>
      </c>
      <c r="AS15" s="9">
        <v>24.422197622844429</v>
      </c>
      <c r="AT15" s="9">
        <v>5.3177620615061025E-2</v>
      </c>
      <c r="AU15" s="9">
        <v>255.27679355958844</v>
      </c>
      <c r="AV15" s="9">
        <v>12.833657566238946</v>
      </c>
      <c r="AW15" s="9">
        <v>21.273614925728911</v>
      </c>
      <c r="AX15" s="9">
        <v>32.515777207031249</v>
      </c>
      <c r="AY15" s="9">
        <v>27.626207712795996</v>
      </c>
      <c r="AZ15" s="9">
        <v>7.3641345771494088E-2</v>
      </c>
      <c r="BA15" s="9">
        <v>279.77198224944715</v>
      </c>
      <c r="BB15" s="9">
        <v>13.446933608656911</v>
      </c>
      <c r="BC15" s="9">
        <v>16.683644048576888</v>
      </c>
      <c r="BD15" s="9">
        <v>27.57380388403125</v>
      </c>
      <c r="BE15" s="9">
        <v>378.4675666666667</v>
      </c>
      <c r="BF15" s="9">
        <v>31.357700000000005</v>
      </c>
      <c r="BG15" s="9">
        <v>98.51306666666666</v>
      </c>
      <c r="BH15" s="9">
        <v>0.83016666666666661</v>
      </c>
      <c r="BI15" s="9">
        <v>378.4675666666667</v>
      </c>
      <c r="BJ15" s="9">
        <v>2.0443333333333333</v>
      </c>
      <c r="BK15" s="9">
        <v>1437.3333333333333</v>
      </c>
      <c r="BL15" s="9">
        <v>102.1</v>
      </c>
      <c r="BM15" s="9">
        <v>27</v>
      </c>
      <c r="BN15" s="9">
        <v>85</v>
      </c>
      <c r="BO15" s="9">
        <v>28.1</v>
      </c>
      <c r="BP15" s="9">
        <v>32.9</v>
      </c>
      <c r="BQ15" s="9">
        <v>1.1000000000000001</v>
      </c>
      <c r="BR15" s="9">
        <v>1</v>
      </c>
      <c r="BS15" s="9">
        <v>399.4738882066228</v>
      </c>
      <c r="BT15" s="9">
        <v>263.80784043568468</v>
      </c>
      <c r="BU15" s="9">
        <v>0.83</v>
      </c>
      <c r="BV15" s="9">
        <v>0.83</v>
      </c>
      <c r="BW15" s="9">
        <v>63.406999999999996</v>
      </c>
      <c r="BX15" s="9">
        <v>35.911999999999999</v>
      </c>
      <c r="BY15" s="9">
        <v>21.675000000000001</v>
      </c>
      <c r="BZ15" s="9">
        <v>12.654</v>
      </c>
      <c r="CA15" s="9">
        <v>27.626207712795996</v>
      </c>
      <c r="CB15" s="9">
        <v>7.3641345771494088E-2</v>
      </c>
      <c r="CC15" s="9">
        <v>279.77198224944715</v>
      </c>
      <c r="CD15" s="9">
        <v>13.446933608656911</v>
      </c>
      <c r="CE15" s="9">
        <v>16.683644048576888</v>
      </c>
      <c r="CF15" s="9">
        <v>33.267203884031247</v>
      </c>
      <c r="CG15" s="9">
        <v>24.422197622844429</v>
      </c>
      <c r="CH15" s="9">
        <v>5.3177620615061025E-2</v>
      </c>
      <c r="CI15" s="9">
        <v>255.27679355958844</v>
      </c>
      <c r="CJ15" s="9">
        <v>12.833657566238946</v>
      </c>
      <c r="CK15" s="9">
        <v>21.273614925728911</v>
      </c>
      <c r="CL15" s="9">
        <v>31.053341091062499</v>
      </c>
      <c r="CM15" s="9">
        <v>350.68049999999999</v>
      </c>
      <c r="CN15" s="9">
        <v>300.77420000000001</v>
      </c>
      <c r="CO15" s="9">
        <v>644.91020000000003</v>
      </c>
      <c r="CP15" s="9">
        <v>6.7408000000000001</v>
      </c>
      <c r="CQ15" s="9">
        <v>339.25970000000001</v>
      </c>
      <c r="CR15" s="9">
        <v>121.071</v>
      </c>
      <c r="CS15" s="9">
        <v>2582</v>
      </c>
      <c r="CT15" s="9">
        <v>28.5</v>
      </c>
      <c r="CU15" s="9">
        <v>1.3</v>
      </c>
      <c r="CV15" s="9">
        <v>314.74339304151636</v>
      </c>
      <c r="CW15" s="9">
        <v>0.83</v>
      </c>
      <c r="CX15" s="9">
        <v>24.328379602111038</v>
      </c>
      <c r="CY15" s="9">
        <v>0.65762761093922351</v>
      </c>
      <c r="CZ15" s="9">
        <v>351.39785910950087</v>
      </c>
      <c r="DA15" s="9">
        <v>15.498236869298838</v>
      </c>
      <c r="DB15" s="9">
        <v>2.5531008477201604</v>
      </c>
      <c r="DC15" s="9">
        <v>37.173633575439453</v>
      </c>
      <c r="DD15" s="9">
        <v>95</v>
      </c>
      <c r="DE15" s="9">
        <v>101</v>
      </c>
      <c r="DF15" s="9">
        <v>128</v>
      </c>
      <c r="DG15" s="9">
        <v>96</v>
      </c>
      <c r="DH15" s="9">
        <v>12</v>
      </c>
      <c r="DI15" s="9">
        <v>5</v>
      </c>
      <c r="DJ15" s="9">
        <v>54.01</v>
      </c>
      <c r="DK15" s="9">
        <v>30.65</v>
      </c>
      <c r="DL15" s="9">
        <v>16.12</v>
      </c>
      <c r="DM15" s="9">
        <v>21.87</v>
      </c>
      <c r="DN15" s="9">
        <f t="shared" si="0"/>
        <v>14.529999999999998</v>
      </c>
      <c r="DO15" s="9">
        <f t="shared" si="1"/>
        <v>0.52593800978792826</v>
      </c>
    </row>
    <row r="16" spans="1:119" x14ac:dyDescent="0.25">
      <c r="A16" s="12">
        <v>3</v>
      </c>
      <c r="B16" s="12">
        <v>5</v>
      </c>
      <c r="C16" s="14" t="s">
        <v>208</v>
      </c>
      <c r="D16" s="8" t="s">
        <v>222</v>
      </c>
      <c r="E16" s="8">
        <v>3</v>
      </c>
      <c r="F16" s="9">
        <v>43.7</v>
      </c>
      <c r="G16" s="9">
        <v>0</v>
      </c>
      <c r="H16" s="9">
        <v>3</v>
      </c>
      <c r="I16" s="9">
        <v>28.5</v>
      </c>
      <c r="J16" s="9">
        <v>0.3</v>
      </c>
      <c r="K16" s="9">
        <v>17.399999999999999</v>
      </c>
      <c r="L16" s="9">
        <v>0.1</v>
      </c>
      <c r="M16" s="9">
        <v>0.28599999999999998</v>
      </c>
      <c r="N16" s="9">
        <v>0.13200000000000001</v>
      </c>
      <c r="O16" s="9">
        <v>0.10100000000000001</v>
      </c>
      <c r="P16" s="9">
        <v>6.9000000000000006E-2</v>
      </c>
      <c r="Q16" s="9">
        <v>14.259911703301682</v>
      </c>
      <c r="R16" s="9">
        <v>0.24784836399686638</v>
      </c>
      <c r="S16" s="9">
        <v>233.97639247007888</v>
      </c>
      <c r="T16" s="9">
        <v>4.3784989335193591</v>
      </c>
      <c r="U16" s="9">
        <v>1.7517984370401791</v>
      </c>
      <c r="V16" s="9">
        <v>29.520429611206055</v>
      </c>
      <c r="W16" s="9">
        <v>196.66460000000001</v>
      </c>
      <c r="X16" s="9">
        <v>7.5156999999999998</v>
      </c>
      <c r="Y16" s="9">
        <v>23.6112</v>
      </c>
      <c r="Z16" s="9">
        <v>0.38219999999999998</v>
      </c>
      <c r="AA16" s="9">
        <v>196.66460000000001</v>
      </c>
      <c r="AB16" s="9">
        <v>0.22600000000000001</v>
      </c>
      <c r="AC16" s="9">
        <v>1084</v>
      </c>
      <c r="AD16" s="9">
        <v>59.9</v>
      </c>
      <c r="AE16" s="9">
        <v>10</v>
      </c>
      <c r="AF16" s="9">
        <v>31</v>
      </c>
      <c r="AG16" s="9">
        <v>34.6</v>
      </c>
      <c r="AH16" s="9">
        <v>33.200000000000003</v>
      </c>
      <c r="AI16" s="9">
        <v>1.25</v>
      </c>
      <c r="AJ16" s="9">
        <v>1.05</v>
      </c>
      <c r="AK16" s="9">
        <v>310.89999999999998</v>
      </c>
      <c r="AL16" s="9">
        <v>307.60000000000002</v>
      </c>
      <c r="AM16" s="9">
        <v>0.83</v>
      </c>
      <c r="AN16" s="9">
        <v>0.82</v>
      </c>
      <c r="AO16" s="9">
        <v>13.361000000000001</v>
      </c>
      <c r="AP16" s="9">
        <v>6.6749999999999998</v>
      </c>
      <c r="AQ16" s="9">
        <v>8.0809999999999995</v>
      </c>
      <c r="AR16" s="9">
        <v>2.2879999999999998</v>
      </c>
      <c r="AS16" s="9">
        <v>25.539708193586495</v>
      </c>
      <c r="AT16" s="9">
        <v>4.6939946151726676E-2</v>
      </c>
      <c r="AU16" s="9">
        <v>237.23234641325493</v>
      </c>
      <c r="AV16" s="9">
        <v>13.11454315313647</v>
      </c>
      <c r="AW16" s="9">
        <v>24.214433883268619</v>
      </c>
      <c r="AX16" s="9">
        <v>32.508069611206054</v>
      </c>
      <c r="AY16" s="9">
        <v>19.515891120765094</v>
      </c>
      <c r="AZ16" s="9">
        <v>5.44624174597408E-2</v>
      </c>
      <c r="BA16" s="9">
        <v>282.82429231353223</v>
      </c>
      <c r="BB16" s="9">
        <v>10.870197740757137</v>
      </c>
      <c r="BC16" s="9">
        <v>17.741326470994004</v>
      </c>
      <c r="BD16" s="9">
        <v>27.566096288206055</v>
      </c>
      <c r="BE16" s="9">
        <f t="shared" ref="BE16:BK16" si="7">AVERAGE(BE14:BE15)</f>
        <v>372.23170000000005</v>
      </c>
      <c r="BF16" s="9">
        <f t="shared" si="7"/>
        <v>47.192716666666669</v>
      </c>
      <c r="BG16" s="9">
        <f t="shared" si="7"/>
        <v>148.2603</v>
      </c>
      <c r="BH16" s="9">
        <f t="shared" si="7"/>
        <v>1.2847666666666666</v>
      </c>
      <c r="BI16" s="9">
        <f t="shared" si="7"/>
        <v>372.23170000000005</v>
      </c>
      <c r="BJ16" s="9">
        <f t="shared" si="7"/>
        <v>5.2929999999999993</v>
      </c>
      <c r="BK16" s="9">
        <f t="shared" si="7"/>
        <v>1110.5</v>
      </c>
      <c r="BL16" s="9">
        <v>96.1</v>
      </c>
      <c r="BM16" s="9">
        <v>28</v>
      </c>
      <c r="BN16" s="9">
        <v>91</v>
      </c>
      <c r="BO16" s="9">
        <v>34.1</v>
      </c>
      <c r="BP16" s="9">
        <v>38.299999999999997</v>
      </c>
      <c r="BQ16" s="9">
        <v>1.1000000000000001</v>
      </c>
      <c r="BR16" s="9">
        <v>1</v>
      </c>
      <c r="BS16" s="9">
        <v>398.0271266294078</v>
      </c>
      <c r="BT16" s="9">
        <v>265.50736704822253</v>
      </c>
      <c r="BU16" s="9">
        <v>0.83</v>
      </c>
      <c r="BV16" s="9">
        <v>0.82</v>
      </c>
      <c r="BW16" s="9">
        <v>62.866</v>
      </c>
      <c r="BX16" s="9">
        <v>36.347000000000001</v>
      </c>
      <c r="BY16" s="9">
        <v>22.478999999999999</v>
      </c>
      <c r="BZ16" s="9">
        <v>11.513999999999999</v>
      </c>
      <c r="CA16" s="9">
        <v>27.626207712795996</v>
      </c>
      <c r="CB16" s="9">
        <v>7.3641345771494088E-2</v>
      </c>
      <c r="CC16" s="9">
        <v>279.77198224944715</v>
      </c>
      <c r="CD16" s="9">
        <v>13.446933608656911</v>
      </c>
      <c r="CE16" s="9">
        <v>16.683644048576888</v>
      </c>
      <c r="CF16" s="9">
        <v>33.259496288206051</v>
      </c>
      <c r="CG16" s="9">
        <v>25.539708193586495</v>
      </c>
      <c r="CH16" s="9">
        <v>4.6939946151726676E-2</v>
      </c>
      <c r="CI16" s="9">
        <v>237.23234641325493</v>
      </c>
      <c r="CJ16" s="9">
        <v>13.11454315313647</v>
      </c>
      <c r="CK16" s="9">
        <v>24.214433883268619</v>
      </c>
      <c r="CL16" s="9">
        <v>31.037925899412109</v>
      </c>
      <c r="CM16" s="9">
        <v>339.25970000000001</v>
      </c>
      <c r="CN16" s="9">
        <v>228.68709999999999</v>
      </c>
      <c r="CO16" s="9">
        <v>718.44169999999997</v>
      </c>
      <c r="CP16" s="9">
        <f>AVERAGE(CP14:CP15)</f>
        <v>5.9927999999999999</v>
      </c>
      <c r="CQ16" s="9">
        <f t="shared" ref="CQ16:CR16" si="8">AVERAGE(CQ14:CQ15)</f>
        <v>350.11220000000003</v>
      </c>
      <c r="CR16" s="9">
        <f t="shared" si="8"/>
        <v>99.527500000000003</v>
      </c>
      <c r="CS16" s="9">
        <v>3538</v>
      </c>
      <c r="CT16" s="9">
        <v>28.5</v>
      </c>
      <c r="CU16" s="9">
        <v>1.3</v>
      </c>
      <c r="CV16" s="9">
        <v>322.65359817659578</v>
      </c>
      <c r="CW16" s="9">
        <v>0.83</v>
      </c>
      <c r="CX16" s="9">
        <v>24.538071551954289</v>
      </c>
      <c r="CY16" s="9">
        <v>0.65709919495702507</v>
      </c>
      <c r="CZ16" s="9">
        <v>350.68863697043201</v>
      </c>
      <c r="DA16" s="9">
        <v>15.493508380597884</v>
      </c>
      <c r="DB16" s="9">
        <v>2.5540809114209799</v>
      </c>
      <c r="DC16" s="9">
        <v>37.175621032714844</v>
      </c>
      <c r="DD16" s="9">
        <v>95</v>
      </c>
      <c r="DE16" s="9">
        <v>101</v>
      </c>
      <c r="DF16" s="9">
        <v>128</v>
      </c>
      <c r="DG16" s="9">
        <v>90</v>
      </c>
      <c r="DH16" s="9">
        <v>10</v>
      </c>
      <c r="DI16" s="9">
        <v>5</v>
      </c>
      <c r="DJ16" s="9">
        <v>54.68</v>
      </c>
      <c r="DK16" s="9">
        <v>30.99</v>
      </c>
      <c r="DL16" s="9">
        <v>16.98</v>
      </c>
      <c r="DM16" s="9">
        <v>22.65</v>
      </c>
      <c r="DN16" s="9">
        <f t="shared" si="0"/>
        <v>14.009999999999998</v>
      </c>
      <c r="DO16" s="9">
        <f t="shared" si="1"/>
        <v>0.54791868344627304</v>
      </c>
    </row>
    <row r="17" spans="1:119" x14ac:dyDescent="0.25">
      <c r="A17" s="12">
        <v>1</v>
      </c>
      <c r="B17" s="12">
        <v>6</v>
      </c>
      <c r="C17" s="14" t="s">
        <v>209</v>
      </c>
      <c r="D17" s="8" t="s">
        <v>222</v>
      </c>
      <c r="E17" s="8">
        <v>1</v>
      </c>
      <c r="F17" s="9">
        <v>51</v>
      </c>
      <c r="G17" s="9">
        <v>0</v>
      </c>
      <c r="H17" s="9">
        <v>4</v>
      </c>
      <c r="I17" s="9">
        <v>34.1</v>
      </c>
      <c r="J17" s="9">
        <v>0.3</v>
      </c>
      <c r="K17" s="9">
        <v>29.7</v>
      </c>
      <c r="L17" s="9">
        <v>0.2</v>
      </c>
      <c r="M17" s="9">
        <v>0.54600000000000004</v>
      </c>
      <c r="N17" s="9">
        <v>0.125</v>
      </c>
      <c r="O17" s="9">
        <v>0.19800000000000001</v>
      </c>
      <c r="P17" s="9">
        <v>5.6000000000000001E-2</v>
      </c>
      <c r="Q17" s="9">
        <v>7.6320728315998663</v>
      </c>
      <c r="R17" s="9">
        <v>8.0891958472390196E-2</v>
      </c>
      <c r="S17" s="9">
        <v>183.71246692385435</v>
      </c>
      <c r="T17" s="9">
        <v>1.7415462717787238</v>
      </c>
      <c r="U17" s="9">
        <v>2.0651141977151046</v>
      </c>
      <c r="V17" s="9">
        <v>29.697353363037109</v>
      </c>
      <c r="W17" s="9">
        <v>251.47630000000001</v>
      </c>
      <c r="X17" s="9">
        <v>15.873100000000001</v>
      </c>
      <c r="Y17" s="9">
        <v>49.866900000000001</v>
      </c>
      <c r="Z17" s="9">
        <v>0.63119999999999998</v>
      </c>
      <c r="AA17" s="9">
        <v>251.47630000000001</v>
      </c>
      <c r="AB17" s="9">
        <v>0.78700000000000003</v>
      </c>
      <c r="AC17" s="9">
        <v>861</v>
      </c>
      <c r="AD17" s="9">
        <v>64.099999999999994</v>
      </c>
      <c r="AE17" s="9">
        <v>11</v>
      </c>
      <c r="AF17" s="9">
        <v>26</v>
      </c>
      <c r="AG17" s="9">
        <v>42.7</v>
      </c>
      <c r="AH17" s="9">
        <v>24.1</v>
      </c>
      <c r="AI17" s="9">
        <v>1.1000000000000001</v>
      </c>
      <c r="AJ17" s="9">
        <v>0.7</v>
      </c>
      <c r="AK17" s="9">
        <v>207.3</v>
      </c>
      <c r="AL17" s="9">
        <v>216.8</v>
      </c>
      <c r="AM17" s="9">
        <v>0.83</v>
      </c>
      <c r="AN17" s="9">
        <v>0.81</v>
      </c>
      <c r="AO17" s="9">
        <v>12.891</v>
      </c>
      <c r="AP17" s="9">
        <v>5.8719999999999999</v>
      </c>
      <c r="AQ17" s="9">
        <v>4.5609999999999999</v>
      </c>
      <c r="AR17" s="9">
        <v>2.2069999999999999</v>
      </c>
      <c r="AS17" s="9">
        <v>24.279157215414244</v>
      </c>
      <c r="AT17" s="9">
        <v>5.8042639600090908E-2</v>
      </c>
      <c r="AU17" s="9">
        <v>266.66494629153317</v>
      </c>
      <c r="AV17" s="9">
        <v>13.050420862110254</v>
      </c>
      <c r="AW17" s="9">
        <v>19.23586130648059</v>
      </c>
      <c r="AX17" s="9">
        <v>32.684993363037108</v>
      </c>
      <c r="AY17" s="9">
        <v>16.159712542793692</v>
      </c>
      <c r="AZ17" s="9">
        <v>4.6565850868202863E-2</v>
      </c>
      <c r="BA17" s="9">
        <v>267.02019451242415</v>
      </c>
      <c r="BB17" s="9">
        <v>11.048782800500573</v>
      </c>
      <c r="BC17" s="9">
        <v>20.823724906111337</v>
      </c>
      <c r="BD17" s="9">
        <v>27.743020040037109</v>
      </c>
      <c r="BE17" s="9">
        <v>257.93180000000001</v>
      </c>
      <c r="BF17" s="9">
        <v>31.7544</v>
      </c>
      <c r="BG17" s="9">
        <v>99.759433333333334</v>
      </c>
      <c r="BH17" s="9">
        <v>1.2101999999999999</v>
      </c>
      <c r="BI17" s="9">
        <v>257.93180000000001</v>
      </c>
      <c r="BJ17" s="9">
        <v>3.1793333333333336</v>
      </c>
      <c r="BK17" s="9">
        <v>838</v>
      </c>
      <c r="BL17" s="9">
        <v>119.1</v>
      </c>
      <c r="BM17" s="9">
        <v>25</v>
      </c>
      <c r="BN17" s="9">
        <v>85</v>
      </c>
      <c r="BO17" s="9">
        <v>45.5</v>
      </c>
      <c r="BP17" s="9">
        <v>47.1</v>
      </c>
      <c r="BQ17" s="9">
        <v>1.1000000000000001</v>
      </c>
      <c r="BR17" s="9">
        <v>1</v>
      </c>
      <c r="BS17" s="9">
        <v>253.52188527721665</v>
      </c>
      <c r="BT17" s="9">
        <v>267.20277854062374</v>
      </c>
      <c r="BU17" s="9">
        <v>0.83</v>
      </c>
      <c r="BV17" s="9">
        <v>0.81</v>
      </c>
      <c r="BW17" s="9">
        <v>80.459000000000003</v>
      </c>
      <c r="BX17" s="9">
        <v>45.719000000000001</v>
      </c>
      <c r="BY17" s="9">
        <v>24.373999999999999</v>
      </c>
      <c r="BZ17" s="9">
        <v>13.414999999999999</v>
      </c>
      <c r="CA17" s="9">
        <v>24.279157215414244</v>
      </c>
      <c r="CB17" s="9">
        <v>5.8042639600090908E-2</v>
      </c>
      <c r="CC17" s="9">
        <v>266.66494629153317</v>
      </c>
      <c r="CD17" s="9">
        <v>13.050420862110254</v>
      </c>
      <c r="CE17" s="9">
        <v>19.23586130648059</v>
      </c>
      <c r="CF17" s="9">
        <v>33.436420040037106</v>
      </c>
      <c r="CG17" s="9">
        <v>19.515891120765094</v>
      </c>
      <c r="CH17" s="9">
        <v>5.44624174597408E-2</v>
      </c>
      <c r="CI17" s="9">
        <v>282.82429231353223</v>
      </c>
      <c r="CJ17" s="9">
        <v>10.870197740757137</v>
      </c>
      <c r="CK17" s="9">
        <v>17.741326470994004</v>
      </c>
      <c r="CL17" s="9">
        <v>31.391773403074218</v>
      </c>
      <c r="CM17" s="9">
        <v>463.5376</v>
      </c>
      <c r="CN17" s="9">
        <v>256.5462</v>
      </c>
      <c r="CO17" s="9">
        <v>805.96360000000004</v>
      </c>
      <c r="CP17" s="9">
        <f>AVERAGE(CP18:CP19)</f>
        <v>2.5287999999999999</v>
      </c>
      <c r="CQ17" s="9">
        <v>463.5376</v>
      </c>
      <c r="CR17" s="9">
        <v>111.51600000000001</v>
      </c>
      <c r="CS17" s="9">
        <v>3433</v>
      </c>
      <c r="CT17" s="9">
        <v>36.200000000000003</v>
      </c>
      <c r="CU17" s="9">
        <v>1.7</v>
      </c>
      <c r="CV17" s="9">
        <v>301.92235798341517</v>
      </c>
      <c r="CW17" s="9">
        <v>0.81</v>
      </c>
      <c r="CX17" s="9">
        <v>20.884092991472908</v>
      </c>
      <c r="CY17" s="9">
        <v>0.3928851027422916</v>
      </c>
      <c r="CZ17" s="9">
        <v>329.1235913542522</v>
      </c>
      <c r="DA17" s="9">
        <v>11.236996194358587</v>
      </c>
      <c r="DB17" s="9">
        <v>2.919800942703028</v>
      </c>
      <c r="DC17" s="9">
        <v>37.242992401123047</v>
      </c>
      <c r="DD17" s="9">
        <v>94</v>
      </c>
      <c r="DE17" s="9">
        <v>99</v>
      </c>
      <c r="DF17" s="9">
        <v>128</v>
      </c>
      <c r="DG17" s="9">
        <v>89</v>
      </c>
      <c r="DH17" s="9">
        <v>11</v>
      </c>
      <c r="DI17" s="9">
        <v>6</v>
      </c>
      <c r="DJ17" s="9">
        <v>67.89</v>
      </c>
      <c r="DK17" s="9">
        <v>32.65</v>
      </c>
      <c r="DL17" s="9">
        <v>16.98</v>
      </c>
      <c r="DM17" s="9">
        <v>17.11</v>
      </c>
      <c r="DN17" s="9">
        <f t="shared" si="0"/>
        <v>15.669999999999998</v>
      </c>
      <c r="DO17" s="9">
        <f t="shared" si="1"/>
        <v>0.52006125574272588</v>
      </c>
    </row>
    <row r="18" spans="1:119" x14ac:dyDescent="0.25">
      <c r="A18" s="12">
        <v>2</v>
      </c>
      <c r="B18" s="12">
        <v>6</v>
      </c>
      <c r="C18" s="14" t="s">
        <v>209</v>
      </c>
      <c r="D18" s="8" t="s">
        <v>222</v>
      </c>
      <c r="E18" s="8">
        <v>2</v>
      </c>
      <c r="F18" s="9">
        <v>44.5</v>
      </c>
      <c r="G18" s="9">
        <v>0</v>
      </c>
      <c r="H18" s="9">
        <v>3</v>
      </c>
      <c r="I18" s="9">
        <v>30.4</v>
      </c>
      <c r="J18" s="9">
        <v>0.7</v>
      </c>
      <c r="K18" s="9">
        <v>27.9</v>
      </c>
      <c r="L18" s="9">
        <v>0.45</v>
      </c>
      <c r="M18" s="9">
        <v>0.72300000000000009</v>
      </c>
      <c r="N18" s="9">
        <v>0.154</v>
      </c>
      <c r="O18" s="9">
        <v>0.2165</v>
      </c>
      <c r="P18" s="9">
        <v>5.0999999999999997E-2</v>
      </c>
      <c r="Q18" s="9">
        <v>7.0012750892590034</v>
      </c>
      <c r="R18" s="9">
        <v>8.1214556099832941E-2</v>
      </c>
      <c r="S18" s="9">
        <v>196.80655819079686</v>
      </c>
      <c r="T18" s="9">
        <v>1.7502992470265444</v>
      </c>
      <c r="U18" s="9">
        <v>2.0674238688451325</v>
      </c>
      <c r="V18" s="9">
        <v>29.697065353393555</v>
      </c>
      <c r="W18" s="9">
        <v>152.0223</v>
      </c>
      <c r="X18" s="9">
        <v>11.157299999999999</v>
      </c>
      <c r="Y18" s="9">
        <v>35.0518</v>
      </c>
      <c r="Z18" s="9">
        <v>0.7339</v>
      </c>
      <c r="AA18" s="9">
        <v>152.0223</v>
      </c>
      <c r="AB18" s="9">
        <v>0.64300000000000002</v>
      </c>
      <c r="AC18" s="9">
        <v>593</v>
      </c>
      <c r="AD18" s="9">
        <v>63.9</v>
      </c>
      <c r="AE18" s="9">
        <v>11</v>
      </c>
      <c r="AF18" s="9">
        <v>32</v>
      </c>
      <c r="AG18" s="9">
        <v>43.6</v>
      </c>
      <c r="AH18" s="9">
        <v>37.6</v>
      </c>
      <c r="AI18" s="9">
        <v>0.9</v>
      </c>
      <c r="AJ18" s="9">
        <v>0.6</v>
      </c>
      <c r="AK18" s="9">
        <v>190.8</v>
      </c>
      <c r="AL18" s="9">
        <v>201.7</v>
      </c>
      <c r="AM18" s="9">
        <v>0.85</v>
      </c>
      <c r="AN18" s="9">
        <v>0.85</v>
      </c>
      <c r="AO18" s="9">
        <v>16.914999999999999</v>
      </c>
      <c r="AP18" s="9">
        <v>7.5419999999999998</v>
      </c>
      <c r="AQ18" s="9">
        <v>7.6589999999999998</v>
      </c>
      <c r="AR18" s="9">
        <v>1.875</v>
      </c>
      <c r="AS18" s="9">
        <v>16.215385945012535</v>
      </c>
      <c r="AT18" s="9">
        <v>4.5681914464261487E-2</v>
      </c>
      <c r="AU18" s="9">
        <v>292.36494063743515</v>
      </c>
      <c r="AV18" s="9">
        <v>8.87147464270104</v>
      </c>
      <c r="AW18" s="9">
        <v>16.865772047188557</v>
      </c>
      <c r="AX18" s="9">
        <v>32.684705353393554</v>
      </c>
      <c r="AY18" s="9">
        <v>19.198603615040856</v>
      </c>
      <c r="AZ18" s="9">
        <v>3.3682529007843943E-2</v>
      </c>
      <c r="BA18" s="9">
        <v>233.41159927408853</v>
      </c>
      <c r="BB18" s="9">
        <v>10.851315739996815</v>
      </c>
      <c r="BC18" s="9">
        <v>26.313718435449857</v>
      </c>
      <c r="BD18" s="9">
        <v>27.742732030393555</v>
      </c>
      <c r="BE18" s="9">
        <v>360.52066666666661</v>
      </c>
      <c r="BF18" s="9">
        <v>55.92163333333334</v>
      </c>
      <c r="BG18" s="9">
        <v>175.68299999999999</v>
      </c>
      <c r="BH18" s="9">
        <v>1.5570666666666668</v>
      </c>
      <c r="BI18" s="9">
        <v>360.52066666666661</v>
      </c>
      <c r="BJ18" s="9">
        <v>6.8763333333333341</v>
      </c>
      <c r="BK18" s="9">
        <v>957.33333333333337</v>
      </c>
      <c r="BL18" s="9">
        <v>121.2</v>
      </c>
      <c r="BM18" s="9">
        <v>26</v>
      </c>
      <c r="BN18" s="9">
        <v>89</v>
      </c>
      <c r="BO18" s="9">
        <v>47.8</v>
      </c>
      <c r="BP18" s="9">
        <v>48.1</v>
      </c>
      <c r="BQ18" s="9">
        <v>1.1000000000000001</v>
      </c>
      <c r="BR18" s="9">
        <v>1</v>
      </c>
      <c r="BS18" s="9">
        <v>260.39627504105778</v>
      </c>
      <c r="BT18" s="9">
        <v>265.50736704822253</v>
      </c>
      <c r="BU18" s="9">
        <v>0.84</v>
      </c>
      <c r="BV18" s="9">
        <v>0.82</v>
      </c>
      <c r="BW18" s="9">
        <v>81.671000000000006</v>
      </c>
      <c r="BX18" s="9">
        <v>47.124000000000002</v>
      </c>
      <c r="BY18" s="9">
        <v>24.513999999999999</v>
      </c>
      <c r="BZ18" s="9">
        <v>15.821</v>
      </c>
      <c r="CA18" s="9">
        <v>24.279157215414244</v>
      </c>
      <c r="CB18" s="9">
        <v>5.8042639600090908E-2</v>
      </c>
      <c r="CC18" s="9">
        <v>266.66494629153317</v>
      </c>
      <c r="CD18" s="9">
        <v>13.050420862110254</v>
      </c>
      <c r="CE18" s="9">
        <v>19.23586130648059</v>
      </c>
      <c r="CF18" s="9">
        <v>33.436132030393551</v>
      </c>
      <c r="CG18" s="9">
        <v>16.159712542793692</v>
      </c>
      <c r="CH18" s="9">
        <v>4.6565850868202863E-2</v>
      </c>
      <c r="CI18" s="9">
        <v>267.02019451242415</v>
      </c>
      <c r="CJ18" s="9">
        <v>11.048782800500573</v>
      </c>
      <c r="CK18" s="9">
        <v>20.823724906111337</v>
      </c>
      <c r="CL18" s="9">
        <v>31.391197383787109</v>
      </c>
      <c r="CM18" s="9">
        <v>563.86860000000001</v>
      </c>
      <c r="CN18" s="9">
        <v>374.04680000000002</v>
      </c>
      <c r="CO18" s="9">
        <v>1175.1027999999999</v>
      </c>
      <c r="CP18" s="9">
        <v>2.3917999999999999</v>
      </c>
      <c r="CQ18" s="9">
        <v>563.86860000000001</v>
      </c>
      <c r="CR18" s="9">
        <v>70.265000000000001</v>
      </c>
      <c r="CS18" s="9">
        <v>6706</v>
      </c>
      <c r="CT18" s="9">
        <v>29.5</v>
      </c>
      <c r="CU18" s="9">
        <v>1.7</v>
      </c>
      <c r="CV18" s="9">
        <v>305.14720333872469</v>
      </c>
      <c r="CW18" s="9">
        <v>0.81</v>
      </c>
      <c r="CX18" s="9">
        <v>21.115026043401059</v>
      </c>
      <c r="CY18" s="9">
        <v>0.39197365052745142</v>
      </c>
      <c r="CZ18" s="9">
        <v>327.88264781721352</v>
      </c>
      <c r="DA18" s="9">
        <v>11.219905270142899</v>
      </c>
      <c r="DB18" s="9">
        <v>2.9215481583417646</v>
      </c>
      <c r="DC18" s="9">
        <v>37.245624542236328</v>
      </c>
      <c r="DD18" s="9">
        <v>94</v>
      </c>
      <c r="DE18" s="9">
        <v>99</v>
      </c>
      <c r="DF18" s="9">
        <v>128</v>
      </c>
      <c r="DG18" s="9">
        <v>104</v>
      </c>
      <c r="DH18" s="9">
        <v>16</v>
      </c>
      <c r="DI18" s="9">
        <v>10</v>
      </c>
      <c r="DJ18" s="9">
        <v>69.319999999999993</v>
      </c>
      <c r="DK18" s="9">
        <v>34.85</v>
      </c>
      <c r="DL18" s="9">
        <v>18.03</v>
      </c>
      <c r="DM18" s="9">
        <v>18.54</v>
      </c>
      <c r="DN18" s="9">
        <f t="shared" si="0"/>
        <v>16.82</v>
      </c>
      <c r="DO18" s="9">
        <f t="shared" si="1"/>
        <v>0.51736011477761834</v>
      </c>
    </row>
    <row r="19" spans="1:119" x14ac:dyDescent="0.25">
      <c r="A19" s="12">
        <v>3</v>
      </c>
      <c r="B19" s="12">
        <v>6</v>
      </c>
      <c r="C19" s="14" t="s">
        <v>209</v>
      </c>
      <c r="D19" s="8" t="s">
        <v>222</v>
      </c>
      <c r="E19" s="8">
        <v>3</v>
      </c>
      <c r="F19" s="9">
        <v>45</v>
      </c>
      <c r="G19" s="9">
        <v>0</v>
      </c>
      <c r="H19" s="9">
        <v>3</v>
      </c>
      <c r="I19" s="9">
        <v>31.3</v>
      </c>
      <c r="J19" s="9">
        <v>0.5</v>
      </c>
      <c r="K19" s="9">
        <v>25.4</v>
      </c>
      <c r="L19" s="9">
        <v>0.2</v>
      </c>
      <c r="M19" s="9">
        <v>0.54320000000000002</v>
      </c>
      <c r="N19" s="9">
        <v>0.21299999999999999</v>
      </c>
      <c r="O19" s="9">
        <v>0.21540000000000001</v>
      </c>
      <c r="P19" s="9">
        <v>5.1999999999999998E-2</v>
      </c>
      <c r="Q19" s="9">
        <v>7.4293686031014161</v>
      </c>
      <c r="R19" s="9">
        <v>8.0927307056317524E-2</v>
      </c>
      <c r="S19" s="9">
        <v>187.85922376544121</v>
      </c>
      <c r="T19" s="9">
        <v>1.745346425213395</v>
      </c>
      <c r="U19" s="9">
        <v>2.0687706364846496</v>
      </c>
      <c r="V19" s="9">
        <v>29.697235107421875</v>
      </c>
      <c r="W19" s="9">
        <f>AVERAGE(W17:W18)</f>
        <v>201.74930000000001</v>
      </c>
      <c r="X19" s="9">
        <f t="shared" ref="X19:Y19" si="9">AVERAGE(X17:X18)</f>
        <v>13.5152</v>
      </c>
      <c r="Y19" s="9">
        <f t="shared" si="9"/>
        <v>42.459350000000001</v>
      </c>
      <c r="Z19" s="9">
        <f t="shared" ref="Z19" si="10">AVERAGE(Z17:Z18)</f>
        <v>0.68254999999999999</v>
      </c>
      <c r="AA19" s="9">
        <f t="shared" ref="AA19" si="11">AVERAGE(AA17:AA18)</f>
        <v>201.74930000000001</v>
      </c>
      <c r="AB19" s="9">
        <f t="shared" ref="AB19" si="12">AVERAGE(AB17:AB18)</f>
        <v>0.71500000000000008</v>
      </c>
      <c r="AC19" s="9">
        <v>394</v>
      </c>
      <c r="AD19" s="9">
        <v>71.3</v>
      </c>
      <c r="AE19" s="9">
        <v>10</v>
      </c>
      <c r="AF19" s="9">
        <v>27</v>
      </c>
      <c r="AG19" s="9">
        <v>54</v>
      </c>
      <c r="AH19" s="9">
        <v>42.1</v>
      </c>
      <c r="AI19" s="9">
        <v>1.1000000000000001</v>
      </c>
      <c r="AJ19" s="9">
        <v>0.9</v>
      </c>
      <c r="AK19" s="9">
        <v>222.1</v>
      </c>
      <c r="AL19" s="9">
        <v>217.8</v>
      </c>
      <c r="AM19" s="9">
        <v>0.81</v>
      </c>
      <c r="AN19" s="9">
        <v>0.8</v>
      </c>
      <c r="AO19" s="9">
        <v>14.63</v>
      </c>
      <c r="AP19" s="9">
        <v>7.4210000000000003</v>
      </c>
      <c r="AQ19" s="9">
        <v>4.4560000000000004</v>
      </c>
      <c r="AR19" s="9">
        <v>1.2250000000000001</v>
      </c>
      <c r="AS19" s="9">
        <v>20.264951697829098</v>
      </c>
      <c r="AT19" s="9">
        <v>3.2434331367605519E-2</v>
      </c>
      <c r="AU19" s="9">
        <v>239.37770011689037</v>
      </c>
      <c r="AV19" s="9">
        <v>9.8594196966709724</v>
      </c>
      <c r="AW19" s="9">
        <v>25.169804032384878</v>
      </c>
      <c r="AX19" s="9">
        <v>32.684875107421874</v>
      </c>
      <c r="AY19" s="9">
        <v>14.141388853738846</v>
      </c>
      <c r="AZ19" s="9">
        <v>4.7493828895181202E-2</v>
      </c>
      <c r="BA19" s="9">
        <v>288.87076720363348</v>
      </c>
      <c r="BB19" s="9">
        <v>9.6805820077969766</v>
      </c>
      <c r="BC19" s="9">
        <v>17.64774580722629</v>
      </c>
      <c r="BD19" s="9">
        <v>27.742901784421875</v>
      </c>
      <c r="BE19" s="9">
        <f t="shared" ref="BE19:BK19" si="13">AVERAGE(BE17:BE18)</f>
        <v>309.22623333333331</v>
      </c>
      <c r="BF19" s="9">
        <f t="shared" si="13"/>
        <v>43.838016666666668</v>
      </c>
      <c r="BG19" s="9">
        <f t="shared" si="13"/>
        <v>137.72121666666666</v>
      </c>
      <c r="BH19" s="9">
        <f t="shared" si="13"/>
        <v>1.3836333333333335</v>
      </c>
      <c r="BI19" s="9">
        <f t="shared" si="13"/>
        <v>309.22623333333331</v>
      </c>
      <c r="BJ19" s="9">
        <f t="shared" si="13"/>
        <v>5.0278333333333336</v>
      </c>
      <c r="BK19" s="9">
        <f t="shared" si="13"/>
        <v>897.66666666666674</v>
      </c>
      <c r="BL19" s="9">
        <v>122.5</v>
      </c>
      <c r="BM19" s="9">
        <v>25</v>
      </c>
      <c r="BN19" s="9">
        <v>81</v>
      </c>
      <c r="BO19" s="9">
        <v>47.7</v>
      </c>
      <c r="BP19" s="9">
        <v>43.5</v>
      </c>
      <c r="BQ19" s="9">
        <v>1.1000000000000001</v>
      </c>
      <c r="BR19" s="9">
        <v>1</v>
      </c>
      <c r="BS19" s="9">
        <v>270.58141863344827</v>
      </c>
      <c r="BT19" s="9">
        <v>268.89411570635895</v>
      </c>
      <c r="BU19" s="9">
        <v>0.83</v>
      </c>
      <c r="BV19" s="9">
        <v>0.82</v>
      </c>
      <c r="BW19" s="9">
        <v>87.570999999999998</v>
      </c>
      <c r="BX19" s="9">
        <v>49.941000000000003</v>
      </c>
      <c r="BY19" s="9">
        <v>25.126999999999999</v>
      </c>
      <c r="BZ19" s="9">
        <v>13.512</v>
      </c>
      <c r="CA19" s="9">
        <v>24.279157215414244</v>
      </c>
      <c r="CB19" s="9">
        <v>5.8042639600090908E-2</v>
      </c>
      <c r="CC19" s="9">
        <v>266.66494629153317</v>
      </c>
      <c r="CD19" s="9">
        <v>13.050420862110254</v>
      </c>
      <c r="CE19" s="9">
        <v>19.23586130648059</v>
      </c>
      <c r="CF19" s="9">
        <v>33.436301784421872</v>
      </c>
      <c r="CG19" s="9">
        <v>19.198603615040856</v>
      </c>
      <c r="CH19" s="9">
        <v>3.3682529007843943E-2</v>
      </c>
      <c r="CI19" s="9">
        <v>233.41159927408853</v>
      </c>
      <c r="CJ19" s="9">
        <v>10.851315739996815</v>
      </c>
      <c r="CK19" s="9">
        <v>26.313718435449857</v>
      </c>
      <c r="CL19" s="9">
        <v>31.391536891843749</v>
      </c>
      <c r="CM19" s="9">
        <v>561.17240000000004</v>
      </c>
      <c r="CN19" s="9">
        <f>AVERAGE(CN17:CN18)</f>
        <v>315.29650000000004</v>
      </c>
      <c r="CO19" s="9">
        <v>869.97180000000003</v>
      </c>
      <c r="CP19" s="9">
        <v>2.6657999999999999</v>
      </c>
      <c r="CQ19" s="9">
        <v>561.17240000000004</v>
      </c>
      <c r="CR19" s="9">
        <v>31.321000000000002</v>
      </c>
      <c r="CS19" s="9">
        <v>2668</v>
      </c>
      <c r="CT19" s="9">
        <v>35.700000000000003</v>
      </c>
      <c r="CU19" s="9">
        <v>1.7</v>
      </c>
      <c r="CV19" s="9">
        <v>309.95978395785153</v>
      </c>
      <c r="CW19" s="9">
        <v>0.81</v>
      </c>
      <c r="CX19" s="9">
        <v>20.594945730596027</v>
      </c>
      <c r="CY19" s="9">
        <v>0.39116497123618588</v>
      </c>
      <c r="CZ19" s="9">
        <v>330.0841155231754</v>
      </c>
      <c r="DA19" s="9">
        <v>11.211757166063846</v>
      </c>
      <c r="DB19" s="9">
        <v>2.9249006167754148</v>
      </c>
      <c r="DC19" s="9">
        <v>37.253238677978516</v>
      </c>
      <c r="DD19" s="9">
        <v>94</v>
      </c>
      <c r="DE19" s="9">
        <v>99</v>
      </c>
      <c r="DF19" s="9">
        <v>128</v>
      </c>
      <c r="DG19" s="9">
        <v>125</v>
      </c>
      <c r="DH19" s="9">
        <v>12</v>
      </c>
      <c r="DI19" s="9">
        <v>5</v>
      </c>
      <c r="DJ19" s="9">
        <v>66.91</v>
      </c>
      <c r="DK19" s="9">
        <v>33.090000000000003</v>
      </c>
      <c r="DL19" s="9">
        <v>15.43</v>
      </c>
      <c r="DM19" s="9">
        <v>16.98</v>
      </c>
      <c r="DN19" s="9">
        <f t="shared" si="0"/>
        <v>17.660000000000004</v>
      </c>
      <c r="DO19" s="9">
        <f t="shared" si="1"/>
        <v>0.46630401934119065</v>
      </c>
    </row>
    <row r="20" spans="1:119" x14ac:dyDescent="0.25">
      <c r="A20" s="12">
        <v>1</v>
      </c>
      <c r="B20" s="12">
        <v>7</v>
      </c>
      <c r="C20" s="14" t="s">
        <v>211</v>
      </c>
      <c r="D20" s="8" t="s">
        <v>222</v>
      </c>
      <c r="E20" s="8">
        <v>1</v>
      </c>
      <c r="F20" s="9">
        <v>45</v>
      </c>
      <c r="G20" s="9">
        <v>0</v>
      </c>
      <c r="H20" s="9">
        <v>4</v>
      </c>
      <c r="I20" s="9">
        <v>21.5</v>
      </c>
      <c r="J20" s="9">
        <v>0.4</v>
      </c>
      <c r="K20" s="9">
        <v>14.9</v>
      </c>
      <c r="L20" s="9">
        <v>0.3</v>
      </c>
      <c r="M20" s="9">
        <v>0.29799999999999999</v>
      </c>
      <c r="N20" s="9">
        <v>0.123</v>
      </c>
      <c r="O20" s="9">
        <v>0.111</v>
      </c>
      <c r="P20" s="9">
        <v>5.1999999999999998E-2</v>
      </c>
      <c r="Q20" s="9">
        <v>8.2714253219534228</v>
      </c>
      <c r="R20" s="9">
        <v>8.1493694601136174E-2</v>
      </c>
      <c r="S20" s="9">
        <v>172.44146687812201</v>
      </c>
      <c r="T20" s="9">
        <v>1.7540637520125624</v>
      </c>
      <c r="U20" s="9">
        <v>2.0649909632959766</v>
      </c>
      <c r="V20" s="9">
        <v>29.672426223754883</v>
      </c>
      <c r="W20" s="9">
        <v>56.552</v>
      </c>
      <c r="X20" s="9">
        <v>2.7826</v>
      </c>
      <c r="Y20" s="9">
        <v>8.7418999999999993</v>
      </c>
      <c r="Z20" s="9">
        <v>0.49209999999999998</v>
      </c>
      <c r="AA20" s="9">
        <v>56.552</v>
      </c>
      <c r="AB20" s="9">
        <v>0.108</v>
      </c>
      <c r="AC20" s="9">
        <f>AVERAGE(AC21:AC22)</f>
        <v>416.5</v>
      </c>
      <c r="AD20" s="9">
        <v>64.099999999999994</v>
      </c>
      <c r="AE20" s="9">
        <v>12</v>
      </c>
      <c r="AF20" s="9">
        <v>29</v>
      </c>
      <c r="AG20" s="9">
        <v>55.1</v>
      </c>
      <c r="AH20" s="9">
        <v>31.2</v>
      </c>
      <c r="AI20" s="9">
        <v>0.9</v>
      </c>
      <c r="AJ20" s="9">
        <v>0.8</v>
      </c>
      <c r="AK20" s="9">
        <v>252.4</v>
      </c>
      <c r="AL20" s="9">
        <v>248.3</v>
      </c>
      <c r="AM20" s="9">
        <v>0.85</v>
      </c>
      <c r="AN20" s="9">
        <v>0.82</v>
      </c>
      <c r="AO20" s="9">
        <v>13.83</v>
      </c>
      <c r="AP20" s="9">
        <v>6.9240000000000004</v>
      </c>
      <c r="AQ20" s="9">
        <v>9.1129999999999995</v>
      </c>
      <c r="AR20" s="9">
        <v>2.5150000000000001</v>
      </c>
      <c r="AS20" s="9">
        <v>20.17732937053912</v>
      </c>
      <c r="AT20" s="9">
        <v>2.2878682007264544E-2</v>
      </c>
      <c r="AU20" s="9">
        <v>228.92273202331111</v>
      </c>
      <c r="AV20" s="9">
        <v>7.3246927704408531</v>
      </c>
      <c r="AW20" s="9">
        <v>26.47000474385316</v>
      </c>
      <c r="AX20" s="9">
        <v>32.660066223754882</v>
      </c>
      <c r="AY20" s="9">
        <v>16.463668160765426</v>
      </c>
      <c r="AZ20" s="9">
        <v>3.7064689003479499E-2</v>
      </c>
      <c r="BA20" s="9">
        <v>259.22060167865232</v>
      </c>
      <c r="BB20" s="9">
        <v>9.4947267241988946</v>
      </c>
      <c r="BC20" s="9">
        <v>21.921737346822258</v>
      </c>
      <c r="BD20" s="9">
        <v>27.718092900754883</v>
      </c>
      <c r="BE20" s="9">
        <v>304.56583333333333</v>
      </c>
      <c r="BF20" s="9">
        <v>33.470599999999997</v>
      </c>
      <c r="BG20" s="9">
        <v>105.15089999999999</v>
      </c>
      <c r="BH20" s="9">
        <v>1.1126333333333334</v>
      </c>
      <c r="BI20" s="9">
        <v>304.56583333333333</v>
      </c>
      <c r="BJ20" s="9">
        <v>2.9013333333333335</v>
      </c>
      <c r="BK20" s="9">
        <v>1099.6666666666667</v>
      </c>
      <c r="BL20" s="9">
        <v>95.6</v>
      </c>
      <c r="BM20" s="9">
        <v>25</v>
      </c>
      <c r="BN20" s="9">
        <v>89</v>
      </c>
      <c r="BO20" s="9">
        <v>38.1</v>
      </c>
      <c r="BP20" s="9">
        <v>38.6</v>
      </c>
      <c r="BQ20" s="9">
        <v>1.1000000000000001</v>
      </c>
      <c r="BR20" s="9">
        <v>1</v>
      </c>
      <c r="BS20" s="9">
        <v>359.62106273871439</v>
      </c>
      <c r="BT20" s="9">
        <v>335.15422333859686</v>
      </c>
      <c r="BU20" s="9">
        <v>0.84</v>
      </c>
      <c r="BV20" s="9">
        <v>0.82</v>
      </c>
      <c r="BW20" s="9">
        <v>45.127000000000002</v>
      </c>
      <c r="BX20" s="9">
        <v>25.853999999999999</v>
      </c>
      <c r="BY20" s="9">
        <v>13.695</v>
      </c>
      <c r="BZ20" s="9">
        <v>11.923</v>
      </c>
      <c r="CA20" s="9">
        <v>20.264951697829098</v>
      </c>
      <c r="CB20" s="9">
        <v>3.2434331367605519E-2</v>
      </c>
      <c r="CC20" s="9">
        <v>239.37770011689037</v>
      </c>
      <c r="CD20" s="9">
        <v>9.8594196966709724</v>
      </c>
      <c r="CE20" s="9">
        <v>25.169804032384878</v>
      </c>
      <c r="CF20" s="9">
        <v>33.41149290075488</v>
      </c>
      <c r="CG20" s="9">
        <v>14.141388853738846</v>
      </c>
      <c r="CH20" s="9">
        <v>4.7493828895181202E-2</v>
      </c>
      <c r="CI20" s="9">
        <v>288.87076720363348</v>
      </c>
      <c r="CJ20" s="9">
        <v>9.6805820077969766</v>
      </c>
      <c r="CK20" s="9">
        <v>17.64774580722629</v>
      </c>
      <c r="CL20" s="9">
        <v>31.341919124509765</v>
      </c>
      <c r="CM20" s="9">
        <f>AVERAGE(CM21:CM22)</f>
        <v>422.26735000000002</v>
      </c>
      <c r="CN20" s="9">
        <v>244.64760000000001</v>
      </c>
      <c r="CO20" s="9">
        <v>768.58299999999997</v>
      </c>
      <c r="CP20" s="9">
        <f>AVERAGE(CP21:CP22)</f>
        <v>6.3018000000000001</v>
      </c>
      <c r="CQ20" s="9">
        <f>AVERAGE(CQ21:CQ22)</f>
        <v>422.26735000000002</v>
      </c>
      <c r="CR20" s="9">
        <v>54.57</v>
      </c>
      <c r="CS20" s="9">
        <v>5095</v>
      </c>
      <c r="CT20" s="9">
        <v>27</v>
      </c>
      <c r="CU20" s="9">
        <v>1.3</v>
      </c>
      <c r="CV20" s="9">
        <v>336.70380810358051</v>
      </c>
      <c r="CW20" s="9">
        <v>0.82</v>
      </c>
      <c r="CX20" s="9">
        <v>16.769909676693825</v>
      </c>
      <c r="CY20" s="9">
        <v>0.29281799974556039</v>
      </c>
      <c r="CZ20" s="9">
        <v>323.05076869728185</v>
      </c>
      <c r="DA20" s="9">
        <v>10.10730792214833</v>
      </c>
      <c r="DB20" s="9">
        <v>3.4390543511535627</v>
      </c>
      <c r="DC20" s="9">
        <v>38.505680084228516</v>
      </c>
      <c r="DD20" s="9">
        <v>80</v>
      </c>
      <c r="DE20" s="9">
        <v>84</v>
      </c>
      <c r="DF20" s="9">
        <v>118</v>
      </c>
      <c r="DG20" s="9">
        <v>101</v>
      </c>
      <c r="DH20" s="9">
        <v>21</v>
      </c>
      <c r="DI20" s="9">
        <v>17</v>
      </c>
      <c r="DJ20" s="9">
        <v>51.07</v>
      </c>
      <c r="DK20" s="9">
        <v>38.65</v>
      </c>
      <c r="DL20" s="9">
        <v>16.52</v>
      </c>
      <c r="DM20" s="9">
        <v>15.51</v>
      </c>
      <c r="DN20" s="9">
        <f t="shared" si="0"/>
        <v>22.13</v>
      </c>
      <c r="DO20" s="9">
        <f t="shared" si="1"/>
        <v>0.4274256144890039</v>
      </c>
    </row>
    <row r="21" spans="1:119" x14ac:dyDescent="0.25">
      <c r="A21" s="12">
        <v>2</v>
      </c>
      <c r="B21" s="12">
        <v>7</v>
      </c>
      <c r="C21" s="14" t="s">
        <v>211</v>
      </c>
      <c r="D21" s="8" t="s">
        <v>222</v>
      </c>
      <c r="E21" s="8">
        <v>2</v>
      </c>
      <c r="F21" s="9">
        <v>29.1</v>
      </c>
      <c r="G21" s="9">
        <v>0</v>
      </c>
      <c r="H21" s="9">
        <v>3</v>
      </c>
      <c r="I21" s="9">
        <v>15.4</v>
      </c>
      <c r="J21" s="9">
        <v>0.4</v>
      </c>
      <c r="K21" s="9">
        <v>12.7</v>
      </c>
      <c r="L21" s="9">
        <v>0.2</v>
      </c>
      <c r="M21" s="9">
        <v>0.24399999999999999</v>
      </c>
      <c r="N21" s="9">
        <v>0.126</v>
      </c>
      <c r="O21" s="9">
        <v>0.10100000000000001</v>
      </c>
      <c r="P21" s="9">
        <v>4.9000000000000002E-2</v>
      </c>
      <c r="Q21" s="9">
        <v>8.7847187401999438</v>
      </c>
      <c r="R21" s="9">
        <v>8.2568762778033905E-2</v>
      </c>
      <c r="S21" s="9">
        <v>164.77955122253218</v>
      </c>
      <c r="T21" s="9">
        <v>1.7741104640063847</v>
      </c>
      <c r="U21" s="9">
        <v>2.0619231735774362</v>
      </c>
      <c r="V21" s="9">
        <v>29.65483283996582</v>
      </c>
      <c r="W21" s="9">
        <v>83.229100000000003</v>
      </c>
      <c r="X21" s="9">
        <v>2.9089999999999998</v>
      </c>
      <c r="Y21" s="9">
        <v>9.1388999999999996</v>
      </c>
      <c r="Z21" s="9">
        <v>0.34949999999999998</v>
      </c>
      <c r="AA21" s="9">
        <v>83.229100000000003</v>
      </c>
      <c r="AB21" s="9">
        <v>0.08</v>
      </c>
      <c r="AC21" s="9">
        <v>429</v>
      </c>
      <c r="AD21" s="9">
        <v>58.5</v>
      </c>
      <c r="AE21" s="9">
        <v>11</v>
      </c>
      <c r="AF21" s="9">
        <v>38</v>
      </c>
      <c r="AG21" s="9">
        <v>40</v>
      </c>
      <c r="AH21" s="9">
        <v>30.3</v>
      </c>
      <c r="AI21" s="9">
        <v>0.8</v>
      </c>
      <c r="AJ21" s="9">
        <v>0.8</v>
      </c>
      <c r="AK21" s="9">
        <v>249.9</v>
      </c>
      <c r="AL21" s="9">
        <v>216.4</v>
      </c>
      <c r="AM21" s="9">
        <v>0.84</v>
      </c>
      <c r="AN21" s="9">
        <v>0.84</v>
      </c>
      <c r="AO21" s="9">
        <v>14.340999999999999</v>
      </c>
      <c r="AP21" s="9">
        <v>7.2119999999999997</v>
      </c>
      <c r="AQ21" s="9">
        <v>9.9429999999999996</v>
      </c>
      <c r="AR21" s="9">
        <v>2.0649999999999999</v>
      </c>
      <c r="AS21" s="9">
        <v>21.745902721755485</v>
      </c>
      <c r="AT21" s="9">
        <v>3.7536316769588247E-2</v>
      </c>
      <c r="AU21" s="9">
        <v>237.14334890358055</v>
      </c>
      <c r="AV21" s="9">
        <v>10.705752452067909</v>
      </c>
      <c r="AW21" s="9">
        <v>24.687937400531975</v>
      </c>
      <c r="AX21" s="9">
        <v>32.642472839965819</v>
      </c>
      <c r="AY21" s="9">
        <v>17.30175840292037</v>
      </c>
      <c r="AZ21" s="9">
        <v>3.3520039295765261E-2</v>
      </c>
      <c r="BA21" s="9">
        <v>229.33375072497535</v>
      </c>
      <c r="BB21" s="9">
        <v>10.834020450269341</v>
      </c>
      <c r="BC21" s="9">
        <v>26.880548285318859</v>
      </c>
      <c r="BD21" s="9">
        <v>27.70049951696582</v>
      </c>
      <c r="BE21" s="9">
        <v>288.24759999999998</v>
      </c>
      <c r="BF21" s="9">
        <v>27.666633333333333</v>
      </c>
      <c r="BG21" s="9">
        <v>86.917333333333332</v>
      </c>
      <c r="BH21" s="9">
        <v>0.96586666666666654</v>
      </c>
      <c r="BI21" s="9">
        <v>288.24759999999998</v>
      </c>
      <c r="BJ21" s="9">
        <v>2.0933333333333333</v>
      </c>
      <c r="BK21" s="9">
        <v>1281.6666666666667</v>
      </c>
      <c r="BL21" s="9">
        <v>89.1</v>
      </c>
      <c r="BM21" s="9">
        <v>38</v>
      </c>
      <c r="BN21" s="9">
        <v>134</v>
      </c>
      <c r="BO21" s="9">
        <v>39.9</v>
      </c>
      <c r="BP21" s="9">
        <v>38</v>
      </c>
      <c r="BQ21" s="9">
        <v>1.1000000000000001</v>
      </c>
      <c r="BR21" s="9">
        <v>1</v>
      </c>
      <c r="BS21" s="9">
        <v>356.59962632674217</v>
      </c>
      <c r="BT21" s="9">
        <v>336.70380810358051</v>
      </c>
      <c r="BU21" s="9">
        <v>0.84</v>
      </c>
      <c r="BV21" s="9">
        <v>0.84</v>
      </c>
      <c r="BW21" s="9">
        <v>46.518999999999998</v>
      </c>
      <c r="BX21" s="9">
        <v>20.564</v>
      </c>
      <c r="BY21" s="9">
        <v>13.984999999999999</v>
      </c>
      <c r="BZ21" s="9">
        <v>9.6519999999999992</v>
      </c>
      <c r="CA21" s="9">
        <v>20.17732937053912</v>
      </c>
      <c r="CB21" s="9">
        <v>2.2878682007264544E-2</v>
      </c>
      <c r="CC21" s="9">
        <v>228.92273202331111</v>
      </c>
      <c r="CD21" s="9">
        <v>7.3246927704408531</v>
      </c>
      <c r="CE21" s="9">
        <v>26.47000474385316</v>
      </c>
      <c r="CF21" s="9">
        <v>33.393899516965817</v>
      </c>
      <c r="CG21" s="9">
        <v>16.463668160765426</v>
      </c>
      <c r="CH21" s="9">
        <v>3.7064689003479499E-2</v>
      </c>
      <c r="CI21" s="9">
        <v>259.22060167865232</v>
      </c>
      <c r="CJ21" s="9">
        <v>9.4947267241988946</v>
      </c>
      <c r="CK21" s="9">
        <v>21.921737346822258</v>
      </c>
      <c r="CL21" s="9">
        <v>31.30673235693164</v>
      </c>
      <c r="CM21" s="9">
        <v>433.17700000000002</v>
      </c>
      <c r="CN21" s="9">
        <v>236.34350000000001</v>
      </c>
      <c r="CO21" s="9">
        <v>742.495</v>
      </c>
      <c r="CP21" s="9">
        <v>5.4560000000000004</v>
      </c>
      <c r="CQ21" s="9">
        <v>433.17700000000002</v>
      </c>
      <c r="CR21" s="9">
        <v>101.277</v>
      </c>
      <c r="CS21" s="9">
        <v>3429</v>
      </c>
      <c r="CT21" s="9">
        <v>24.1</v>
      </c>
      <c r="CU21" s="9">
        <v>1.3</v>
      </c>
      <c r="CV21" s="9">
        <v>332.04652386333538</v>
      </c>
      <c r="CW21" s="9">
        <v>0.82</v>
      </c>
      <c r="CX21" s="9">
        <v>16.835688910661755</v>
      </c>
      <c r="CY21" s="9">
        <v>0.29219311009516302</v>
      </c>
      <c r="CZ21" s="9">
        <v>322.47205990079482</v>
      </c>
      <c r="DA21" s="9">
        <v>10.094769703997844</v>
      </c>
      <c r="DB21" s="9">
        <v>3.4416361078393822</v>
      </c>
      <c r="DC21" s="9">
        <v>38.510746002197266</v>
      </c>
      <c r="DD21" s="9">
        <v>80</v>
      </c>
      <c r="DE21" s="9">
        <v>84</v>
      </c>
      <c r="DF21" s="9">
        <v>118</v>
      </c>
      <c r="DG21" s="9">
        <v>109</v>
      </c>
      <c r="DH21" s="9">
        <v>27</v>
      </c>
      <c r="DI21" s="9">
        <v>17</v>
      </c>
      <c r="DJ21" s="9">
        <v>48.11</v>
      </c>
      <c r="DK21" s="9">
        <v>37.15</v>
      </c>
      <c r="DL21" s="9">
        <v>15.95</v>
      </c>
      <c r="DM21" s="9">
        <v>14.96</v>
      </c>
      <c r="DN21" s="9">
        <f t="shared" si="0"/>
        <v>21.2</v>
      </c>
      <c r="DO21" s="9">
        <f t="shared" si="1"/>
        <v>0.42934051144010765</v>
      </c>
    </row>
    <row r="22" spans="1:119" x14ac:dyDescent="0.25">
      <c r="A22" s="12">
        <v>3</v>
      </c>
      <c r="B22" s="12">
        <v>7</v>
      </c>
      <c r="C22" s="14" t="s">
        <v>211</v>
      </c>
      <c r="D22" s="8" t="s">
        <v>222</v>
      </c>
      <c r="E22" s="8">
        <v>3</v>
      </c>
      <c r="F22" s="9">
        <v>30.9</v>
      </c>
      <c r="G22" s="9">
        <v>0</v>
      </c>
      <c r="H22" s="9">
        <v>3</v>
      </c>
      <c r="I22" s="9">
        <v>17.2</v>
      </c>
      <c r="J22" s="9">
        <v>0.4</v>
      </c>
      <c r="K22" s="9">
        <v>14.7</v>
      </c>
      <c r="L22" s="9">
        <v>0.3</v>
      </c>
      <c r="M22" s="9">
        <v>0.23699999999999999</v>
      </c>
      <c r="N22" s="9">
        <v>0.13700000000000001</v>
      </c>
      <c r="O22" s="9">
        <v>0.11799999999999999</v>
      </c>
      <c r="P22" s="9">
        <v>4.2000000000000003E-2</v>
      </c>
      <c r="Q22" s="9">
        <v>10.927255238782267</v>
      </c>
      <c r="R22" s="9">
        <v>0.14266873546017833</v>
      </c>
      <c r="S22" s="9">
        <v>199.37645666666191</v>
      </c>
      <c r="T22" s="9">
        <v>2.9483609084952338</v>
      </c>
      <c r="U22" s="9">
        <v>2.0907761304692469</v>
      </c>
      <c r="V22" s="9">
        <v>27.775532150268553</v>
      </c>
      <c r="W22" s="9">
        <f>AVERAGE(W20:W21)</f>
        <v>69.890550000000005</v>
      </c>
      <c r="X22" s="9">
        <f t="shared" ref="X22:Y22" si="14">AVERAGE(X20:X21)</f>
        <v>2.8457999999999997</v>
      </c>
      <c r="Y22" s="9">
        <f t="shared" si="14"/>
        <v>8.9404000000000003</v>
      </c>
      <c r="Z22" s="9">
        <v>0.41710000000000003</v>
      </c>
      <c r="AA22" s="9">
        <v>96.647099999999995</v>
      </c>
      <c r="AB22" s="9">
        <v>0.13200000000000001</v>
      </c>
      <c r="AC22" s="9">
        <v>404</v>
      </c>
      <c r="AD22" s="9">
        <v>55.7</v>
      </c>
      <c r="AE22" s="9">
        <v>11</v>
      </c>
      <c r="AF22" s="9">
        <v>38</v>
      </c>
      <c r="AG22" s="9">
        <v>36.799999999999997</v>
      </c>
      <c r="AH22" s="9">
        <v>31.3</v>
      </c>
      <c r="AI22" s="9">
        <v>0.9</v>
      </c>
      <c r="AJ22" s="9">
        <v>0.7</v>
      </c>
      <c r="AK22" s="9">
        <v>254</v>
      </c>
      <c r="AL22" s="9">
        <v>217.8</v>
      </c>
      <c r="AM22" s="9">
        <v>0.83</v>
      </c>
      <c r="AN22" s="9">
        <v>0.83</v>
      </c>
      <c r="AO22" s="9">
        <v>14.031000000000001</v>
      </c>
      <c r="AP22" s="9">
        <v>7.9829999999999997</v>
      </c>
      <c r="AQ22" s="9">
        <v>10.54</v>
      </c>
      <c r="AR22" s="9">
        <v>3.512</v>
      </c>
      <c r="AS22" s="9">
        <v>19.107238344285328</v>
      </c>
      <c r="AT22" s="9">
        <v>2.5953922994778965E-2</v>
      </c>
      <c r="AU22" s="9">
        <v>215.60726313398476</v>
      </c>
      <c r="AV22" s="9">
        <v>9.2178206249363441</v>
      </c>
      <c r="AW22" s="9">
        <v>28.782732866436156</v>
      </c>
      <c r="AX22" s="9">
        <v>30.763172150268552</v>
      </c>
      <c r="AY22" s="9">
        <v>18.354425654203226</v>
      </c>
      <c r="AZ22" s="9">
        <v>3.4038513005647322E-2</v>
      </c>
      <c r="BA22" s="9">
        <v>242.14921868184956</v>
      </c>
      <c r="BB22" s="9">
        <v>9.3802622152248141</v>
      </c>
      <c r="BC22" s="9">
        <v>24.254312566113832</v>
      </c>
      <c r="BD22" s="9">
        <v>25.821198827268553</v>
      </c>
      <c r="BE22" s="9">
        <f t="shared" ref="BE22:BK22" si="15">AVERAGE(BE20:BE21)</f>
        <v>296.40671666666663</v>
      </c>
      <c r="BF22" s="9">
        <f t="shared" si="15"/>
        <v>30.568616666666664</v>
      </c>
      <c r="BG22" s="9">
        <f t="shared" si="15"/>
        <v>96.034116666666662</v>
      </c>
      <c r="BH22" s="9">
        <f t="shared" si="15"/>
        <v>1.03925</v>
      </c>
      <c r="BI22" s="9">
        <f t="shared" si="15"/>
        <v>296.40671666666663</v>
      </c>
      <c r="BJ22" s="9">
        <f t="shared" si="15"/>
        <v>2.4973333333333336</v>
      </c>
      <c r="BK22" s="9">
        <f t="shared" si="15"/>
        <v>1190.6666666666667</v>
      </c>
      <c r="BL22" s="9">
        <v>105.3</v>
      </c>
      <c r="BM22" s="9">
        <v>21</v>
      </c>
      <c r="BN22" s="9">
        <v>57</v>
      </c>
      <c r="BO22" s="9">
        <v>37.5</v>
      </c>
      <c r="BP22" s="9">
        <v>43.1</v>
      </c>
      <c r="BQ22" s="9">
        <v>1.1000000000000001</v>
      </c>
      <c r="BR22" s="9">
        <v>1</v>
      </c>
      <c r="BS22" s="9">
        <v>365.63375122899635</v>
      </c>
      <c r="BT22" s="9">
        <v>335.15422333859686</v>
      </c>
      <c r="BU22" s="9">
        <v>0.83</v>
      </c>
      <c r="BV22" s="9">
        <v>0.83</v>
      </c>
      <c r="BW22" s="9">
        <v>37.613999999999997</v>
      </c>
      <c r="BX22" s="9">
        <v>18.542000000000002</v>
      </c>
      <c r="BY22" s="9">
        <v>11.615</v>
      </c>
      <c r="BZ22" s="9">
        <v>6.5229999999999997</v>
      </c>
      <c r="CA22" s="9">
        <v>21.745902721755485</v>
      </c>
      <c r="CB22" s="9">
        <v>3.7536316769588247E-2</v>
      </c>
      <c r="CC22" s="9">
        <v>237.14334890358055</v>
      </c>
      <c r="CD22" s="9">
        <v>10.705752452067909</v>
      </c>
      <c r="CE22" s="9">
        <v>24.687937400531975</v>
      </c>
      <c r="CF22" s="9">
        <v>31.514598827268554</v>
      </c>
      <c r="CG22" s="9">
        <v>17.30175840292037</v>
      </c>
      <c r="CH22" s="9">
        <v>3.3520039295765261E-2</v>
      </c>
      <c r="CI22" s="9">
        <v>229.33375072497535</v>
      </c>
      <c r="CJ22" s="9">
        <v>10.834020450269341</v>
      </c>
      <c r="CK22" s="9">
        <v>26.880548285318859</v>
      </c>
      <c r="CL22" s="9">
        <v>27.548130977537106</v>
      </c>
      <c r="CM22" s="9">
        <v>411.35770000000002</v>
      </c>
      <c r="CN22" s="9">
        <v>294.02379999999999</v>
      </c>
      <c r="CO22" s="9">
        <v>923.70299999999997</v>
      </c>
      <c r="CP22" s="9">
        <v>7.1475999999999997</v>
      </c>
      <c r="CQ22" s="9">
        <v>411.35770000000002</v>
      </c>
      <c r="CR22" s="9">
        <v>165.05699999999999</v>
      </c>
      <c r="CS22" s="9">
        <v>3716</v>
      </c>
      <c r="CT22" s="9">
        <v>28.3</v>
      </c>
      <c r="CU22" s="9">
        <v>1.3</v>
      </c>
      <c r="CV22" s="9">
        <v>336.70380810358051</v>
      </c>
      <c r="CW22" s="9">
        <v>0.82</v>
      </c>
      <c r="CX22" s="9">
        <v>16.918817082371888</v>
      </c>
      <c r="CY22" s="9">
        <v>0.29158665114683968</v>
      </c>
      <c r="CZ22" s="9">
        <v>321.8029471757057</v>
      </c>
      <c r="DA22" s="9">
        <v>10.081104006577865</v>
      </c>
      <c r="DB22" s="9">
        <v>3.4436584872015876</v>
      </c>
      <c r="DC22" s="9">
        <v>38.513942718505859</v>
      </c>
      <c r="DD22" s="9">
        <v>80</v>
      </c>
      <c r="DE22" s="9">
        <v>84</v>
      </c>
      <c r="DF22" s="9">
        <v>118</v>
      </c>
      <c r="DG22" s="9">
        <v>108</v>
      </c>
      <c r="DH22" s="9">
        <v>18</v>
      </c>
      <c r="DI22" s="9">
        <v>12</v>
      </c>
      <c r="DJ22" s="9">
        <v>47.96</v>
      </c>
      <c r="DK22" s="9">
        <v>36.97</v>
      </c>
      <c r="DL22" s="9">
        <v>14.99</v>
      </c>
      <c r="DM22" s="9">
        <v>14.25</v>
      </c>
      <c r="DN22" s="9">
        <f t="shared" si="0"/>
        <v>21.979999999999997</v>
      </c>
      <c r="DO22" s="9">
        <f t="shared" si="1"/>
        <v>0.40546388964024888</v>
      </c>
    </row>
    <row r="23" spans="1:119" x14ac:dyDescent="0.25">
      <c r="A23" s="12">
        <v>1</v>
      </c>
      <c r="B23" s="12">
        <v>8</v>
      </c>
      <c r="C23" s="14" t="s">
        <v>212</v>
      </c>
      <c r="D23" s="8" t="s">
        <v>222</v>
      </c>
      <c r="E23" s="8">
        <v>1</v>
      </c>
      <c r="F23" s="9">
        <v>40.9</v>
      </c>
      <c r="G23" s="9">
        <v>0</v>
      </c>
      <c r="H23" s="9">
        <v>3</v>
      </c>
      <c r="I23" s="9">
        <v>23.1</v>
      </c>
      <c r="J23" s="9">
        <v>0.5</v>
      </c>
      <c r="K23" s="9">
        <v>26.3</v>
      </c>
      <c r="L23" s="9">
        <f>AVERAGE(L24:L25)</f>
        <v>0.55000000000000004</v>
      </c>
      <c r="M23" s="9">
        <v>0.65300000000000002</v>
      </c>
      <c r="N23" s="9">
        <v>0.16900000000000001</v>
      </c>
      <c r="O23" s="9">
        <v>0.187</v>
      </c>
      <c r="P23" s="9">
        <v>7.5999999999999998E-2</v>
      </c>
      <c r="Q23" s="9">
        <v>9.7740367538977484</v>
      </c>
      <c r="R23" s="9">
        <v>0.21724564447260658</v>
      </c>
      <c r="S23" s="9">
        <v>262.04517859952733</v>
      </c>
      <c r="T23" s="9">
        <v>4.6122403687442572</v>
      </c>
      <c r="U23" s="9">
        <v>2.0935462870947816</v>
      </c>
      <c r="V23" s="9">
        <v>29.504169464111328</v>
      </c>
      <c r="W23" s="9">
        <v>132.31989999999999</v>
      </c>
      <c r="X23" s="9">
        <v>7.0601000000000003</v>
      </c>
      <c r="Y23" s="9">
        <v>22.18</v>
      </c>
      <c r="Z23" s="9">
        <v>0.73360000000000003</v>
      </c>
      <c r="AA23" s="9">
        <v>132.31989999999999</v>
      </c>
      <c r="AB23" s="9">
        <v>0.29599999999999999</v>
      </c>
      <c r="AC23" s="9">
        <v>450</v>
      </c>
      <c r="AD23" s="9">
        <v>59.5</v>
      </c>
      <c r="AE23" s="9">
        <v>16</v>
      </c>
      <c r="AF23" s="9">
        <v>47</v>
      </c>
      <c r="AG23" s="9">
        <v>40</v>
      </c>
      <c r="AH23" s="9">
        <v>26.8</v>
      </c>
      <c r="AI23" s="9">
        <v>0.8</v>
      </c>
      <c r="AJ23" s="9">
        <v>0.8</v>
      </c>
      <c r="AK23" s="9">
        <v>163.69999999999999</v>
      </c>
      <c r="AL23" s="9">
        <v>160.6</v>
      </c>
      <c r="AM23" s="9">
        <v>0.85</v>
      </c>
      <c r="AN23" s="9">
        <v>0.84</v>
      </c>
      <c r="AO23" s="9">
        <v>19.042000000000002</v>
      </c>
      <c r="AP23" s="9">
        <v>8.9710000000000001</v>
      </c>
      <c r="AQ23" s="9">
        <v>8.2509999999999994</v>
      </c>
      <c r="AR23" s="9">
        <v>2.8759999999999999</v>
      </c>
      <c r="AS23" s="9">
        <v>25.45820170950515</v>
      </c>
      <c r="AT23" s="9">
        <v>4.6974431508443083E-2</v>
      </c>
      <c r="AU23" s="9">
        <v>243.92909041284139</v>
      </c>
      <c r="AV23" s="9">
        <v>12.326197748549703</v>
      </c>
      <c r="AW23" s="9">
        <v>22.88235810021234</v>
      </c>
      <c r="AX23" s="9">
        <v>32.491809464111327</v>
      </c>
      <c r="AY23" s="9">
        <v>23.150563979869666</v>
      </c>
      <c r="AZ23" s="9">
        <v>4.8611379410546954E-2</v>
      </c>
      <c r="BA23" s="9">
        <v>237.59397676261437</v>
      </c>
      <c r="BB23" s="9">
        <v>13.875416322893713</v>
      </c>
      <c r="BC23" s="9">
        <v>24.072741182818039</v>
      </c>
      <c r="BD23" s="9">
        <v>27.549836141111328</v>
      </c>
      <c r="BE23" s="9">
        <v>397.46406666666667</v>
      </c>
      <c r="BF23" s="9">
        <v>58.4863</v>
      </c>
      <c r="BG23" s="9">
        <v>183.74003333333334</v>
      </c>
      <c r="BH23" s="9">
        <v>1.5793333333333333</v>
      </c>
      <c r="BI23" s="9">
        <v>397.46406666666667</v>
      </c>
      <c r="BJ23" s="9">
        <v>7.5776666666666666</v>
      </c>
      <c r="BK23" s="9">
        <v>1520.3333333333333</v>
      </c>
      <c r="BL23" s="9">
        <v>119.3</v>
      </c>
      <c r="BM23" s="9">
        <v>23</v>
      </c>
      <c r="BN23" s="9">
        <v>85</v>
      </c>
      <c r="BO23" s="9">
        <v>24.8</v>
      </c>
      <c r="BP23" s="9">
        <v>31.5</v>
      </c>
      <c r="BQ23" s="9">
        <v>0.9</v>
      </c>
      <c r="BR23" s="9">
        <v>0.9</v>
      </c>
      <c r="BS23" s="9">
        <v>457.09714679725448</v>
      </c>
      <c r="BT23" s="9">
        <v>349.00087837415651</v>
      </c>
      <c r="BU23" s="9">
        <v>0.85</v>
      </c>
      <c r="BV23" s="9">
        <v>0.84</v>
      </c>
      <c r="BW23" s="9">
        <v>36.750999999999998</v>
      </c>
      <c r="BX23" s="9">
        <v>15.132</v>
      </c>
      <c r="BY23" s="9">
        <v>11.257</v>
      </c>
      <c r="BZ23" s="9">
        <v>4.3250000000000002</v>
      </c>
      <c r="CA23" s="9">
        <v>25.45820170950515</v>
      </c>
      <c r="CB23" s="9">
        <v>4.6974431508443083E-2</v>
      </c>
      <c r="CC23" s="9">
        <v>243.92909041284139</v>
      </c>
      <c r="CD23" s="9">
        <v>12.326197748549703</v>
      </c>
      <c r="CE23" s="9">
        <v>22.88235810021234</v>
      </c>
      <c r="CF23" s="9">
        <v>33.243236141111325</v>
      </c>
      <c r="CG23" s="9">
        <v>18.354425654203226</v>
      </c>
      <c r="CH23" s="9">
        <v>3.4038513005647322E-2</v>
      </c>
      <c r="CI23" s="9">
        <v>242.14921868184956</v>
      </c>
      <c r="CJ23" s="9">
        <v>9.3802622152248141</v>
      </c>
      <c r="CK23" s="9">
        <v>24.254312566113832</v>
      </c>
      <c r="CL23" s="9">
        <v>31.005405605222656</v>
      </c>
      <c r="CM23" s="9">
        <v>397.72840000000002</v>
      </c>
      <c r="CN23" s="9">
        <v>219.2518</v>
      </c>
      <c r="CO23" s="9">
        <v>688.79989999999998</v>
      </c>
      <c r="CP23" s="9">
        <v>5.5125999999999999</v>
      </c>
      <c r="CQ23" s="9">
        <v>397.72840000000002</v>
      </c>
      <c r="CR23" s="9">
        <v>94.927000000000007</v>
      </c>
      <c r="CS23" s="9">
        <v>3578</v>
      </c>
      <c r="CT23" s="9">
        <v>22.6</v>
      </c>
      <c r="CU23" s="9">
        <v>1.1000000000000001</v>
      </c>
      <c r="CV23" s="9">
        <v>365.63375122899635</v>
      </c>
      <c r="CW23" s="9">
        <v>0.81</v>
      </c>
      <c r="CX23" s="9">
        <v>29.418611801954832</v>
      </c>
      <c r="CY23" s="9">
        <v>0.56549488343230414</v>
      </c>
      <c r="CZ23" s="9">
        <v>320.05372219932121</v>
      </c>
      <c r="DA23" s="9">
        <v>15.459025411576992</v>
      </c>
      <c r="DB23" s="9">
        <v>2.8979098114533755</v>
      </c>
      <c r="DC23" s="9">
        <v>38.099391937255859</v>
      </c>
      <c r="DD23" s="9">
        <v>76</v>
      </c>
      <c r="DE23" s="9">
        <v>80</v>
      </c>
      <c r="DF23" s="9">
        <v>116</v>
      </c>
      <c r="DG23" s="9">
        <v>106</v>
      </c>
      <c r="DH23" s="9">
        <v>20</v>
      </c>
      <c r="DI23" s="9">
        <v>18</v>
      </c>
      <c r="DJ23" s="9">
        <v>47.85</v>
      </c>
      <c r="DK23" s="9">
        <v>39.869999999999997</v>
      </c>
      <c r="DL23" s="9">
        <v>21.35</v>
      </c>
      <c r="DM23" s="9">
        <v>23.57</v>
      </c>
      <c r="DN23" s="9">
        <f t="shared" si="0"/>
        <v>18.519999999999996</v>
      </c>
      <c r="DO23" s="9">
        <f t="shared" si="1"/>
        <v>0.53549034361675452</v>
      </c>
    </row>
    <row r="24" spans="1:119" x14ac:dyDescent="0.25">
      <c r="A24" s="12">
        <v>2</v>
      </c>
      <c r="B24" s="12">
        <v>8</v>
      </c>
      <c r="C24" s="14" t="s">
        <v>212</v>
      </c>
      <c r="D24" s="8" t="s">
        <v>222</v>
      </c>
      <c r="E24" s="8">
        <v>2</v>
      </c>
      <c r="F24" s="9">
        <v>36.700000000000003</v>
      </c>
      <c r="G24" s="9">
        <v>0</v>
      </c>
      <c r="H24" s="9">
        <v>3</v>
      </c>
      <c r="I24" s="9">
        <v>24.1</v>
      </c>
      <c r="J24" s="9">
        <v>0.5</v>
      </c>
      <c r="K24" s="9">
        <v>26.5</v>
      </c>
      <c r="L24" s="9">
        <v>0.5</v>
      </c>
      <c r="M24" s="9">
        <v>0.85229999999999995</v>
      </c>
      <c r="N24" s="9">
        <v>0.156</v>
      </c>
      <c r="O24" s="9">
        <v>0.17799999999999999</v>
      </c>
      <c r="P24" s="9">
        <v>7.0999999999999994E-2</v>
      </c>
      <c r="Q24" s="9">
        <v>9.7583760562220654</v>
      </c>
      <c r="R24" s="9">
        <v>0.21958555680354705</v>
      </c>
      <c r="S24" s="9">
        <v>262.96276847849612</v>
      </c>
      <c r="T24" s="9">
        <v>4.6538826105486857</v>
      </c>
      <c r="U24" s="9">
        <v>2.0909182730742986</v>
      </c>
      <c r="V24" s="9">
        <v>29.497529983520508</v>
      </c>
      <c r="W24" s="9">
        <f ca="1">AVERAGE(W23:W24)</f>
        <v>175.71195</v>
      </c>
      <c r="X24" s="9">
        <v>6.6654999999999998</v>
      </c>
      <c r="Y24" s="9">
        <v>20.940200000000001</v>
      </c>
      <c r="Z24" s="9">
        <v>0.71250000000000002</v>
      </c>
      <c r="AA24" s="9">
        <v>219.10400000000001</v>
      </c>
      <c r="AB24" s="9">
        <v>0.874</v>
      </c>
      <c r="AC24" s="9">
        <v>679</v>
      </c>
      <c r="AD24" s="9">
        <v>58.5</v>
      </c>
      <c r="AE24" s="9">
        <v>14</v>
      </c>
      <c r="AF24" s="9">
        <v>34</v>
      </c>
      <c r="AG24" s="9">
        <v>38.4</v>
      </c>
      <c r="AH24" s="9">
        <v>27.4</v>
      </c>
      <c r="AI24" s="9">
        <v>0.8</v>
      </c>
      <c r="AJ24" s="9">
        <v>0.6</v>
      </c>
      <c r="AK24" s="9">
        <v>153.80000000000001</v>
      </c>
      <c r="AL24" s="9">
        <v>149.30000000000001</v>
      </c>
      <c r="AM24" s="9">
        <v>0.84</v>
      </c>
      <c r="AN24" s="9">
        <v>0.83</v>
      </c>
      <c r="AO24" s="9">
        <v>17.821000000000002</v>
      </c>
      <c r="AP24" s="9">
        <v>8.5129999999999999</v>
      </c>
      <c r="AQ24" s="9">
        <v>8.9749999999999996</v>
      </c>
      <c r="AR24" s="9">
        <v>2.2530000000000001</v>
      </c>
      <c r="AS24" s="9">
        <v>21.238346299578872</v>
      </c>
      <c r="AT24" s="9">
        <v>3.5022636218023803E-2</v>
      </c>
      <c r="AU24" s="9">
        <v>223.40261229776343</v>
      </c>
      <c r="AV24" s="9">
        <v>11.431096960566354</v>
      </c>
      <c r="AW24" s="9">
        <v>27.238533623808991</v>
      </c>
      <c r="AX24" s="9">
        <v>32.485169983520507</v>
      </c>
      <c r="AY24" s="9">
        <v>17.789367520690757</v>
      </c>
      <c r="AZ24" s="9">
        <v>4.7809320503984523E-2</v>
      </c>
      <c r="BA24" s="9">
        <v>255.49147408844914</v>
      </c>
      <c r="BB24" s="9">
        <v>12.398004343751031</v>
      </c>
      <c r="BC24" s="9">
        <v>22.091199384148062</v>
      </c>
      <c r="BD24" s="9">
        <v>27.543196660520508</v>
      </c>
      <c r="BE24" s="9">
        <v>259.51573333333334</v>
      </c>
      <c r="BF24" s="9">
        <v>54.898400000000002</v>
      </c>
      <c r="BG24" s="9">
        <v>172.46836666666664</v>
      </c>
      <c r="BH24" s="9">
        <v>2.1308333333333334</v>
      </c>
      <c r="BI24" s="9">
        <v>259.51573333333334</v>
      </c>
      <c r="BJ24" s="9">
        <v>10.561999999999999</v>
      </c>
      <c r="BK24" s="9">
        <v>685.66666666666663</v>
      </c>
      <c r="BL24" s="9">
        <v>125.7</v>
      </c>
      <c r="BM24" s="9">
        <v>19</v>
      </c>
      <c r="BN24" s="9">
        <v>57</v>
      </c>
      <c r="BO24" s="9">
        <v>26.4</v>
      </c>
      <c r="BP24" s="9">
        <v>36.200000000000003</v>
      </c>
      <c r="BQ24" s="9">
        <v>0.9</v>
      </c>
      <c r="BR24" s="9">
        <v>0.9</v>
      </c>
      <c r="BS24" s="9">
        <v>434.98457630738</v>
      </c>
      <c r="BT24" s="9">
        <v>355.0850737644667</v>
      </c>
      <c r="BU24" s="9">
        <v>0.84</v>
      </c>
      <c r="BV24" s="9">
        <v>0.83</v>
      </c>
      <c r="BW24" s="9">
        <v>39.972999999999999</v>
      </c>
      <c r="BX24" s="9">
        <v>17.896000000000001</v>
      </c>
      <c r="BY24" s="9">
        <v>10.153</v>
      </c>
      <c r="BZ24" s="9">
        <v>5.3209999999999997</v>
      </c>
      <c r="CA24" s="9">
        <v>25.45820170950515</v>
      </c>
      <c r="CB24" s="9">
        <v>4.6974431508443083E-2</v>
      </c>
      <c r="CC24" s="9">
        <v>243.92909041284139</v>
      </c>
      <c r="CD24" s="9">
        <v>12.326197748549703</v>
      </c>
      <c r="CE24" s="9">
        <v>22.88235810021234</v>
      </c>
      <c r="CF24" s="9">
        <v>33.236596660520505</v>
      </c>
      <c r="CG24" s="9">
        <v>23.150563979869666</v>
      </c>
      <c r="CH24" s="9">
        <v>4.8611379410546954E-2</v>
      </c>
      <c r="CI24" s="9">
        <v>237.59397676261437</v>
      </c>
      <c r="CJ24" s="9">
        <v>13.875416322893713</v>
      </c>
      <c r="CK24" s="9">
        <v>24.072741182818039</v>
      </c>
      <c r="CL24" s="9">
        <v>30.992126644041015</v>
      </c>
      <c r="CM24" s="9">
        <v>498.23719999999997</v>
      </c>
      <c r="CN24" s="9">
        <v>213.24180000000001</v>
      </c>
      <c r="CO24" s="9">
        <v>669.91880000000003</v>
      </c>
      <c r="CP24" s="9">
        <v>3.3578000000000001</v>
      </c>
      <c r="CQ24" s="9">
        <v>589.08069999999998</v>
      </c>
      <c r="CR24" s="9">
        <v>52.164999999999999</v>
      </c>
      <c r="CS24" s="9">
        <v>2069</v>
      </c>
      <c r="CT24" s="9">
        <v>22</v>
      </c>
      <c r="CU24" s="9">
        <v>1.1000000000000001</v>
      </c>
      <c r="CV24" s="9">
        <v>362.63239169499872</v>
      </c>
      <c r="CW24" s="9">
        <v>0.81</v>
      </c>
      <c r="CX24" s="9">
        <v>29.341185832412805</v>
      </c>
      <c r="CY24" s="9">
        <v>0.56423179204871576</v>
      </c>
      <c r="CZ24" s="9">
        <v>320.11552903659606</v>
      </c>
      <c r="DA24" s="9">
        <v>15.441738175405773</v>
      </c>
      <c r="DB24" s="9">
        <v>2.9003465799142409</v>
      </c>
      <c r="DC24" s="9">
        <v>38.103275299072266</v>
      </c>
      <c r="DD24" s="9">
        <v>76</v>
      </c>
      <c r="DE24" s="9">
        <v>80</v>
      </c>
      <c r="DF24" s="9">
        <v>116</v>
      </c>
      <c r="DG24" s="9">
        <v>104</v>
      </c>
      <c r="DH24" s="9">
        <v>24</v>
      </c>
      <c r="DI24" s="9">
        <v>13</v>
      </c>
      <c r="DJ24" s="9">
        <v>45.11</v>
      </c>
      <c r="DK24" s="9">
        <v>38.11</v>
      </c>
      <c r="DL24" s="9">
        <v>20.99</v>
      </c>
      <c r="DM24" s="9">
        <v>22.69</v>
      </c>
      <c r="DN24" s="9">
        <f t="shared" si="0"/>
        <v>17.12</v>
      </c>
      <c r="DO24" s="9">
        <f t="shared" si="1"/>
        <v>0.55077407504591969</v>
      </c>
    </row>
    <row r="25" spans="1:119" x14ac:dyDescent="0.25">
      <c r="A25" s="12">
        <v>3</v>
      </c>
      <c r="B25" s="12">
        <v>8</v>
      </c>
      <c r="C25" s="14" t="s">
        <v>212</v>
      </c>
      <c r="D25" s="8" t="s">
        <v>222</v>
      </c>
      <c r="E25" s="8">
        <v>3</v>
      </c>
      <c r="F25" s="9">
        <v>51.5</v>
      </c>
      <c r="G25" s="9">
        <v>0</v>
      </c>
      <c r="H25" s="9">
        <v>3</v>
      </c>
      <c r="I25" s="9">
        <v>34.5</v>
      </c>
      <c r="J25" s="9">
        <v>0.5</v>
      </c>
      <c r="K25" s="9">
        <v>31.2</v>
      </c>
      <c r="L25" s="9">
        <v>0.6</v>
      </c>
      <c r="M25" s="9">
        <f>AVERAGE(M23:M24)</f>
        <v>0.75265000000000004</v>
      </c>
      <c r="N25" s="9">
        <v>0.125</v>
      </c>
      <c r="O25" s="9">
        <v>0.191</v>
      </c>
      <c r="P25" s="9">
        <v>6.4000000000000001E-2</v>
      </c>
      <c r="Q25" s="9">
        <v>10.333547188773004</v>
      </c>
      <c r="R25" s="9">
        <v>0.22295329491244237</v>
      </c>
      <c r="S25" s="9">
        <v>259.78476972547509</v>
      </c>
      <c r="T25" s="9">
        <v>4.7053181761515361</v>
      </c>
      <c r="U25" s="9">
        <v>2.0835159687394693</v>
      </c>
      <c r="V25" s="9">
        <v>29.475156784057617</v>
      </c>
      <c r="W25" s="11">
        <v>154.01499999999999</v>
      </c>
      <c r="X25" s="11">
        <f t="shared" ref="X25:Y25" si="16">AVERAGE(X23:X24)</f>
        <v>6.8628</v>
      </c>
      <c r="Y25" s="11">
        <f t="shared" si="16"/>
        <v>21.560099999999998</v>
      </c>
      <c r="Z25" s="9">
        <f>AVERAGE(Z23:Z24)</f>
        <v>0.72304999999999997</v>
      </c>
      <c r="AA25" s="9">
        <f t="shared" ref="AA25:AB25" si="17">AVERAGE(AA23:AA24)</f>
        <v>175.71195</v>
      </c>
      <c r="AB25" s="9">
        <f t="shared" si="17"/>
        <v>0.58499999999999996</v>
      </c>
      <c r="AC25" s="9">
        <f>AVERAGE(AC23:AC24)</f>
        <v>564.5</v>
      </c>
      <c r="AD25" s="9">
        <v>61.6</v>
      </c>
      <c r="AE25" s="9">
        <v>15</v>
      </c>
      <c r="AF25" s="9">
        <v>46</v>
      </c>
      <c r="AG25" s="9">
        <v>53</v>
      </c>
      <c r="AH25" s="9">
        <v>32.5</v>
      </c>
      <c r="AI25" s="9">
        <v>0.8</v>
      </c>
      <c r="AJ25" s="9">
        <v>0.6</v>
      </c>
      <c r="AK25" s="9">
        <v>141.80000000000001</v>
      </c>
      <c r="AL25" s="9">
        <v>150.80000000000001</v>
      </c>
      <c r="AM25" s="9">
        <v>0.83</v>
      </c>
      <c r="AN25" s="9">
        <v>0.84</v>
      </c>
      <c r="AO25" s="9">
        <v>22.39</v>
      </c>
      <c r="AP25" s="9">
        <v>10.912000000000001</v>
      </c>
      <c r="AQ25" s="9">
        <v>8.0210000000000008</v>
      </c>
      <c r="AR25" s="9">
        <v>2.1190000000000002</v>
      </c>
      <c r="AS25" s="9">
        <v>24.054839491954102</v>
      </c>
      <c r="AT25" s="9">
        <v>3.1210631074282812E-2</v>
      </c>
      <c r="AU25" s="9">
        <v>187.80967930512921</v>
      </c>
      <c r="AV25" s="9">
        <v>13.141776495864715</v>
      </c>
      <c r="AW25" s="9">
        <v>33.181366574482375</v>
      </c>
      <c r="AX25" s="9">
        <v>32.462796784057616</v>
      </c>
      <c r="AY25" s="9">
        <v>18.534010192335714</v>
      </c>
      <c r="AZ25" s="9">
        <v>2.5940054044265443E-2</v>
      </c>
      <c r="BA25" s="9">
        <v>187.85890521305993</v>
      </c>
      <c r="BB25" s="9">
        <v>11.141577446099793</v>
      </c>
      <c r="BC25" s="9">
        <v>34.099379883814514</v>
      </c>
      <c r="BD25" s="9">
        <v>27.520823461057617</v>
      </c>
      <c r="BE25" s="9">
        <f t="shared" ref="BE25:BK25" si="18">AVERAGE(BE23:BE24)</f>
        <v>328.48990000000003</v>
      </c>
      <c r="BF25" s="9">
        <f t="shared" si="18"/>
        <v>56.692350000000005</v>
      </c>
      <c r="BG25" s="9">
        <f t="shared" si="18"/>
        <v>178.10419999999999</v>
      </c>
      <c r="BH25" s="9">
        <f t="shared" si="18"/>
        <v>1.8550833333333334</v>
      </c>
      <c r="BI25" s="9">
        <f t="shared" si="18"/>
        <v>328.48990000000003</v>
      </c>
      <c r="BJ25" s="9">
        <f t="shared" si="18"/>
        <v>9.0698333333333334</v>
      </c>
      <c r="BK25" s="9">
        <f t="shared" si="18"/>
        <v>1103</v>
      </c>
      <c r="BL25" s="9">
        <v>116.5</v>
      </c>
      <c r="BM25" s="9">
        <v>21</v>
      </c>
      <c r="BN25" s="9">
        <v>60</v>
      </c>
      <c r="BO25" s="9">
        <v>29.4</v>
      </c>
      <c r="BP25" s="9">
        <v>33</v>
      </c>
      <c r="BQ25" s="9">
        <v>0.9</v>
      </c>
      <c r="BR25" s="9">
        <v>0.9</v>
      </c>
      <c r="BS25" s="9">
        <v>429.38441661008994</v>
      </c>
      <c r="BT25" s="9">
        <v>365.63375122899635</v>
      </c>
      <c r="BU25" s="9">
        <v>0.83</v>
      </c>
      <c r="BV25" s="9">
        <v>0.84</v>
      </c>
      <c r="BW25" s="9">
        <v>36.521000000000001</v>
      </c>
      <c r="BX25" s="9">
        <v>15.641999999999999</v>
      </c>
      <c r="BY25" s="9">
        <v>9.875</v>
      </c>
      <c r="BZ25" s="9">
        <v>4.125</v>
      </c>
      <c r="CA25" s="9">
        <v>21.238346299578872</v>
      </c>
      <c r="CB25" s="9">
        <v>3.5022636218023803E-2</v>
      </c>
      <c r="CC25" s="9">
        <v>223.40261229776343</v>
      </c>
      <c r="CD25" s="9">
        <v>11.431096960566354</v>
      </c>
      <c r="CE25" s="9">
        <v>27.238533623808991</v>
      </c>
      <c r="CF25" s="9">
        <v>33.214223461057614</v>
      </c>
      <c r="CG25" s="9">
        <v>17.789367520690757</v>
      </c>
      <c r="CH25" s="9">
        <v>4.7809320503984523E-2</v>
      </c>
      <c r="CI25" s="9">
        <v>255.49147408844914</v>
      </c>
      <c r="CJ25" s="9">
        <v>12.398004343751031</v>
      </c>
      <c r="CK25" s="9">
        <v>22.091199384148062</v>
      </c>
      <c r="CL25" s="9">
        <v>30.947380245115234</v>
      </c>
      <c r="CM25" s="9">
        <v>589.08069999999998</v>
      </c>
      <c r="CN25" s="9">
        <v>197.80260000000001</v>
      </c>
      <c r="CO25" s="9">
        <v>621.4153</v>
      </c>
      <c r="CP25" s="9">
        <f>AVERAGE(CP23:CP24)</f>
        <v>4.4352</v>
      </c>
      <c r="CQ25" s="9">
        <f t="shared" ref="CQ25:CR25" si="19">AVERAGE(CQ23:CQ24)</f>
        <v>493.40454999999997</v>
      </c>
      <c r="CR25" s="9">
        <f t="shared" si="19"/>
        <v>73.546000000000006</v>
      </c>
      <c r="CS25" s="9">
        <v>3197</v>
      </c>
      <c r="CT25" s="9">
        <v>20.9</v>
      </c>
      <c r="CU25" s="9">
        <v>1.1000000000000001</v>
      </c>
      <c r="CV25" s="9">
        <v>370.11739176845447</v>
      </c>
      <c r="CW25" s="9">
        <v>0.82</v>
      </c>
      <c r="CX25" s="9">
        <v>29.283025940324549</v>
      </c>
      <c r="CY25" s="9">
        <v>0.56344990304801412</v>
      </c>
      <c r="CZ25" s="9">
        <v>320.18405229326589</v>
      </c>
      <c r="DA25" s="9">
        <v>15.433011057587413</v>
      </c>
      <c r="DB25" s="9">
        <v>2.9022205419878393</v>
      </c>
      <c r="DC25" s="9">
        <v>38.106857299804688</v>
      </c>
      <c r="DD25" s="9">
        <v>76</v>
      </c>
      <c r="DE25" s="9">
        <v>80</v>
      </c>
      <c r="DF25" s="9">
        <v>116</v>
      </c>
      <c r="DG25" s="9">
        <v>102</v>
      </c>
      <c r="DH25" s="9">
        <v>24</v>
      </c>
      <c r="DI25" s="9">
        <v>12</v>
      </c>
      <c r="DJ25" s="9">
        <v>44.12</v>
      </c>
      <c r="DK25" s="9">
        <v>39.090000000000003</v>
      </c>
      <c r="DL25" s="9">
        <v>20.95</v>
      </c>
      <c r="DM25" s="9">
        <v>22.65</v>
      </c>
      <c r="DN25" s="9">
        <f t="shared" si="0"/>
        <v>18.140000000000004</v>
      </c>
      <c r="DO25" s="9">
        <f t="shared" si="1"/>
        <v>0.53594269634177527</v>
      </c>
    </row>
    <row r="26" spans="1:119" x14ac:dyDescent="0.25">
      <c r="A26" s="12">
        <v>1</v>
      </c>
      <c r="B26" s="12">
        <v>9</v>
      </c>
      <c r="C26" s="14" t="s">
        <v>213</v>
      </c>
      <c r="D26" s="8" t="s">
        <v>222</v>
      </c>
      <c r="E26" s="8">
        <v>1</v>
      </c>
      <c r="F26" s="9">
        <v>37</v>
      </c>
      <c r="G26" s="9">
        <v>0</v>
      </c>
      <c r="H26" s="9">
        <v>3</v>
      </c>
      <c r="I26" s="9">
        <v>26.2</v>
      </c>
      <c r="J26" s="9">
        <v>0.3</v>
      </c>
      <c r="K26" s="9">
        <f>AVERAGE(K27:K28)</f>
        <v>32.650000000000006</v>
      </c>
      <c r="L26" s="9">
        <v>0.2</v>
      </c>
      <c r="M26" s="9">
        <v>0.26200000000000001</v>
      </c>
      <c r="N26" s="9">
        <v>0.14899999999999999</v>
      </c>
      <c r="O26" s="9">
        <v>0.10199999999999999</v>
      </c>
      <c r="P26" s="9">
        <v>5.2999999999999999E-2</v>
      </c>
      <c r="Q26" s="9">
        <v>10.925848353500216</v>
      </c>
      <c r="R26" s="9">
        <v>0.22367602378848203</v>
      </c>
      <c r="S26" s="9">
        <v>255.57865092828814</v>
      </c>
      <c r="T26" s="9">
        <v>4.7139274564051643</v>
      </c>
      <c r="U26" s="9">
        <v>2.0808973200183671</v>
      </c>
      <c r="V26" s="9">
        <v>29.46929931640625</v>
      </c>
      <c r="W26" s="9">
        <f>AVERAGE(W27:W28)</f>
        <v>92.300349999999995</v>
      </c>
      <c r="X26" s="9">
        <f t="shared" ref="X26:Y26" si="20">AVERAGE(X27:X28)</f>
        <v>7.0401499999999997</v>
      </c>
      <c r="Y26" s="9">
        <f t="shared" si="20"/>
        <v>22.117249999999999</v>
      </c>
      <c r="Z26" s="9">
        <v>0.54269999999999996</v>
      </c>
      <c r="AA26" s="9">
        <v>95.383700000000005</v>
      </c>
      <c r="AB26" s="9">
        <v>0.221</v>
      </c>
      <c r="AC26" s="9">
        <v>297</v>
      </c>
      <c r="AD26" s="9">
        <v>60.3</v>
      </c>
      <c r="AE26" s="9">
        <v>18</v>
      </c>
      <c r="AF26" s="9">
        <v>49</v>
      </c>
      <c r="AG26" s="9">
        <v>43.6</v>
      </c>
      <c r="AH26" s="9">
        <v>39.5</v>
      </c>
      <c r="AI26" s="9">
        <v>0.9</v>
      </c>
      <c r="AJ26" s="9">
        <v>0.8</v>
      </c>
      <c r="AK26" s="9">
        <v>221</v>
      </c>
      <c r="AL26" s="9">
        <v>223.6</v>
      </c>
      <c r="AM26" s="9">
        <v>0.85</v>
      </c>
      <c r="AN26" s="9">
        <v>0.84</v>
      </c>
      <c r="AO26" s="9">
        <v>22.068999999999999</v>
      </c>
      <c r="AP26" s="9">
        <v>11.1256</v>
      </c>
      <c r="AQ26" s="9">
        <v>11.35</v>
      </c>
      <c r="AR26" s="9">
        <v>3.8759999999999999</v>
      </c>
      <c r="AS26" s="9">
        <v>28.438670053205648</v>
      </c>
      <c r="AT26" s="9">
        <v>8.0123215096840755E-2</v>
      </c>
      <c r="AU26" s="9">
        <v>246.15706305722065</v>
      </c>
      <c r="AV26" s="9">
        <v>21.046095247746187</v>
      </c>
      <c r="AW26" s="9">
        <v>22.635507440641405</v>
      </c>
      <c r="AX26" s="9">
        <v>32.456939316406249</v>
      </c>
      <c r="AY26" s="9">
        <v>15.880878549545679</v>
      </c>
      <c r="AZ26" s="9">
        <v>3.5860674445342834E-2</v>
      </c>
      <c r="BA26" s="9">
        <v>202.86236870872546</v>
      </c>
      <c r="BB26" s="9">
        <v>14.527186508238429</v>
      </c>
      <c r="BC26" s="9">
        <v>32.323043668441727</v>
      </c>
      <c r="BD26" s="9">
        <v>27.51496599340625</v>
      </c>
      <c r="BE26" s="9">
        <v>327.12380000000002</v>
      </c>
      <c r="BF26" s="9">
        <v>52.738733333333329</v>
      </c>
      <c r="BG26" s="9">
        <v>165.68363333333335</v>
      </c>
      <c r="BH26" s="9">
        <v>1.5053666666666665</v>
      </c>
      <c r="BI26" s="9">
        <v>327.12380000000002</v>
      </c>
      <c r="BJ26" s="9">
        <v>7.2249999999999988</v>
      </c>
      <c r="BK26" s="9">
        <v>1469</v>
      </c>
      <c r="BL26" s="9">
        <v>105.7</v>
      </c>
      <c r="BM26" s="9">
        <v>49</v>
      </c>
      <c r="BN26" s="9">
        <v>153</v>
      </c>
      <c r="BO26" s="9">
        <v>41.6</v>
      </c>
      <c r="BP26" s="9">
        <v>38.5</v>
      </c>
      <c r="BQ26" s="9">
        <v>0.8</v>
      </c>
      <c r="BR26" s="9">
        <v>0.8</v>
      </c>
      <c r="BS26" s="9">
        <v>349.00087837415651</v>
      </c>
      <c r="BT26" s="9">
        <v>321.07768789854686</v>
      </c>
      <c r="BU26" s="9">
        <v>0.84</v>
      </c>
      <c r="BV26" s="9">
        <v>0.84</v>
      </c>
      <c r="BW26" s="9">
        <v>70.932000000000002</v>
      </c>
      <c r="BX26" s="9">
        <v>30.965</v>
      </c>
      <c r="BY26" s="9">
        <v>20.751999999999999</v>
      </c>
      <c r="BZ26" s="9">
        <v>11.516999999999999</v>
      </c>
      <c r="CA26" s="9">
        <v>24.054839491954102</v>
      </c>
      <c r="CB26" s="9">
        <v>3.1210631074282812E-2</v>
      </c>
      <c r="CC26" s="9">
        <v>187.80967930512921</v>
      </c>
      <c r="CD26" s="9">
        <v>13.141776495864715</v>
      </c>
      <c r="CE26" s="9">
        <v>33.181366574482375</v>
      </c>
      <c r="CF26" s="9">
        <v>33.208365993406247</v>
      </c>
      <c r="CG26" s="9">
        <v>18.534010192335714</v>
      </c>
      <c r="CH26" s="9">
        <v>2.5940054044265443E-2</v>
      </c>
      <c r="CI26" s="9">
        <v>187.85890521305993</v>
      </c>
      <c r="CJ26" s="9">
        <v>11.141577446099793</v>
      </c>
      <c r="CK26" s="9">
        <v>34.099379883814514</v>
      </c>
      <c r="CL26" s="9">
        <v>30.935665309812499</v>
      </c>
      <c r="CM26" s="9">
        <v>300.47019999999998</v>
      </c>
      <c r="CN26" s="9">
        <v>215.70070000000001</v>
      </c>
      <c r="CO26" s="9">
        <v>677.64380000000006</v>
      </c>
      <c r="CP26" s="9">
        <v>4.1741999999999999</v>
      </c>
      <c r="CQ26" s="9">
        <v>468.63310000000001</v>
      </c>
      <c r="CR26" s="9">
        <v>77.010000000000005</v>
      </c>
      <c r="CS26" s="9">
        <v>2695</v>
      </c>
      <c r="CT26" s="9">
        <v>35</v>
      </c>
      <c r="CU26" s="9">
        <v>1.3</v>
      </c>
      <c r="CV26" s="9">
        <v>395.12718524992908</v>
      </c>
      <c r="CW26" s="9">
        <v>0.82</v>
      </c>
      <c r="CX26" s="9">
        <v>34.473447110182683</v>
      </c>
      <c r="CY26" s="9">
        <v>0.61788253477330191</v>
      </c>
      <c r="CZ26" s="9">
        <v>315.42727098646151</v>
      </c>
      <c r="DA26" s="9">
        <v>17.77072563442972</v>
      </c>
      <c r="DB26" s="9">
        <v>3.0486836501025123</v>
      </c>
      <c r="DC26" s="9">
        <v>38.140987396240234</v>
      </c>
      <c r="DD26" s="9">
        <v>85</v>
      </c>
      <c r="DE26" s="9">
        <v>89</v>
      </c>
      <c r="DF26" s="9">
        <v>121</v>
      </c>
      <c r="DG26" s="9">
        <v>102</v>
      </c>
      <c r="DH26" s="9">
        <v>31</v>
      </c>
      <c r="DI26" s="9">
        <v>19</v>
      </c>
      <c r="DJ26" s="9">
        <v>77.69</v>
      </c>
      <c r="DK26" s="9">
        <v>36.72</v>
      </c>
      <c r="DL26" s="9">
        <v>17.86</v>
      </c>
      <c r="DM26" s="9">
        <v>17.111999999999998</v>
      </c>
      <c r="DN26" s="9">
        <f t="shared" si="0"/>
        <v>18.86</v>
      </c>
      <c r="DO26" s="9">
        <f t="shared" si="1"/>
        <v>0.48638344226579522</v>
      </c>
    </row>
    <row r="27" spans="1:119" x14ac:dyDescent="0.25">
      <c r="A27" s="12">
        <v>2</v>
      </c>
      <c r="B27" s="12">
        <v>9</v>
      </c>
      <c r="C27" s="14" t="s">
        <v>213</v>
      </c>
      <c r="D27" s="8" t="s">
        <v>222</v>
      </c>
      <c r="E27" s="8">
        <v>2</v>
      </c>
      <c r="F27" s="9">
        <v>54.5</v>
      </c>
      <c r="G27" s="9">
        <v>0</v>
      </c>
      <c r="H27" s="9">
        <v>3</v>
      </c>
      <c r="I27" s="9">
        <v>34.6</v>
      </c>
      <c r="J27" s="9">
        <v>0.3</v>
      </c>
      <c r="K27" s="9">
        <v>38.200000000000003</v>
      </c>
      <c r="L27" s="9">
        <v>0.4</v>
      </c>
      <c r="M27" s="9">
        <v>0.35099999999999998</v>
      </c>
      <c r="N27" s="9">
        <v>0.36</v>
      </c>
      <c r="O27" s="9">
        <v>0.11</v>
      </c>
      <c r="P27" s="9">
        <v>6.1000000000000004E-3</v>
      </c>
      <c r="Q27" s="9">
        <v>7.5050387264907563</v>
      </c>
      <c r="R27" s="9">
        <v>0.36783153376882838</v>
      </c>
      <c r="S27" s="9">
        <v>300.36036434878008</v>
      </c>
      <c r="T27" s="9">
        <v>7.0310092054144588</v>
      </c>
      <c r="U27" s="9">
        <v>1.9423766433233678</v>
      </c>
      <c r="V27" s="9">
        <v>28.964876174926758</v>
      </c>
      <c r="W27" s="9">
        <v>123.7388</v>
      </c>
      <c r="X27" s="9">
        <v>11.4262</v>
      </c>
      <c r="Y27" s="9">
        <v>35.896299999999997</v>
      </c>
      <c r="Z27" s="9">
        <v>0.9234</v>
      </c>
      <c r="AA27" s="9">
        <v>123.7388</v>
      </c>
      <c r="AB27" s="9">
        <v>0.82899999999999996</v>
      </c>
      <c r="AC27" s="9">
        <v>379</v>
      </c>
      <c r="AD27" s="9">
        <v>67.400000000000006</v>
      </c>
      <c r="AE27" s="9">
        <v>19</v>
      </c>
      <c r="AF27" s="9">
        <v>48</v>
      </c>
      <c r="AG27" s="9">
        <v>53.5</v>
      </c>
      <c r="AH27" s="9">
        <v>37.5</v>
      </c>
      <c r="AI27" s="9">
        <v>0.8</v>
      </c>
      <c r="AJ27" s="9">
        <v>0.6</v>
      </c>
      <c r="AK27" s="9">
        <v>218.9</v>
      </c>
      <c r="AL27" s="9">
        <v>210.7</v>
      </c>
      <c r="AM27" s="9">
        <v>0.85</v>
      </c>
      <c r="AN27" s="9">
        <v>0.85</v>
      </c>
      <c r="AO27" s="9">
        <v>26.78</v>
      </c>
      <c r="AP27" s="9">
        <v>14.612</v>
      </c>
      <c r="AQ27" s="9">
        <v>12.361000000000001</v>
      </c>
      <c r="AR27" s="9">
        <v>3.0790000000000002</v>
      </c>
      <c r="AS27" s="9">
        <v>22.074806807822647</v>
      </c>
      <c r="AT27" s="9">
        <v>3.023726954194671E-2</v>
      </c>
      <c r="AU27" s="9">
        <v>193.19269947874733</v>
      </c>
      <c r="AV27" s="9">
        <v>12.289676698139809</v>
      </c>
      <c r="AW27" s="9">
        <v>33.079527790885962</v>
      </c>
      <c r="AX27" s="9">
        <v>31.952516174926757</v>
      </c>
      <c r="AY27" s="9">
        <v>20.989658293753052</v>
      </c>
      <c r="AZ27" s="9">
        <v>4.7347591710259963E-2</v>
      </c>
      <c r="BA27" s="9">
        <v>248.52925445966088</v>
      </c>
      <c r="BB27" s="9">
        <v>13.158008134805254</v>
      </c>
      <c r="BC27" s="9">
        <v>23.479784266376367</v>
      </c>
      <c r="BD27" s="9">
        <v>27.010542851926758</v>
      </c>
      <c r="BE27" s="9">
        <v>306.74970000000002</v>
      </c>
      <c r="BF27" s="9">
        <v>18.035699999999999</v>
      </c>
      <c r="BG27" s="9">
        <v>56.660833333333336</v>
      </c>
      <c r="BH27" s="9">
        <v>0.69956666666666667</v>
      </c>
      <c r="BI27" s="9">
        <v>257.33603333333332</v>
      </c>
      <c r="BJ27" s="9">
        <v>1.0386666666666666</v>
      </c>
      <c r="BK27" s="9">
        <v>1089.6666666666667</v>
      </c>
      <c r="BL27" s="9">
        <v>113.4</v>
      </c>
      <c r="BM27" s="9">
        <v>45</v>
      </c>
      <c r="BN27" s="9">
        <v>146</v>
      </c>
      <c r="BO27" s="9">
        <v>35.1</v>
      </c>
      <c r="BP27" s="9">
        <v>40.299999999999997</v>
      </c>
      <c r="BQ27" s="9">
        <v>0.8</v>
      </c>
      <c r="BR27" s="9">
        <v>0.8</v>
      </c>
      <c r="BS27" s="9">
        <v>356.59962632674217</v>
      </c>
      <c r="BT27" s="9">
        <v>324.22649161672069</v>
      </c>
      <c r="BU27" s="9">
        <v>0.85</v>
      </c>
      <c r="BV27" s="9">
        <v>0.85</v>
      </c>
      <c r="BW27" s="9">
        <v>65.141000000000005</v>
      </c>
      <c r="BX27" s="9">
        <v>27.812000000000001</v>
      </c>
      <c r="BY27" s="9">
        <v>21.751999999999999</v>
      </c>
      <c r="BZ27" s="9">
        <v>12.612</v>
      </c>
      <c r="CA27" s="9">
        <v>20.098825774717717</v>
      </c>
      <c r="CB27" s="9">
        <v>4.0523418668075246E-2</v>
      </c>
      <c r="CC27" s="9">
        <v>234.45353775508474</v>
      </c>
      <c r="CD27" s="9">
        <v>12.011977688718364</v>
      </c>
      <c r="CE27" s="9">
        <v>25.771236688389433</v>
      </c>
      <c r="CF27" s="9">
        <v>32.703942851926762</v>
      </c>
      <c r="CG27" s="9">
        <v>15.880878549545679</v>
      </c>
      <c r="CH27" s="9">
        <v>3.5860674445342834E-2</v>
      </c>
      <c r="CI27" s="9">
        <v>202.86236870872546</v>
      </c>
      <c r="CJ27" s="9">
        <v>14.527186508238429</v>
      </c>
      <c r="CK27" s="9">
        <v>32.323043668441727</v>
      </c>
      <c r="CL27" s="9">
        <v>29.926819026853515</v>
      </c>
      <c r="CM27" s="9">
        <v>420.28730000000002</v>
      </c>
      <c r="CN27" s="9">
        <v>306.93509999999998</v>
      </c>
      <c r="CO27" s="9">
        <v>864.26499999999999</v>
      </c>
      <c r="CP27" s="9">
        <v>3.6778</v>
      </c>
      <c r="CQ27" s="9">
        <v>484.48989999999998</v>
      </c>
      <c r="CR27" s="9">
        <v>69.12</v>
      </c>
      <c r="CS27" s="9">
        <v>2875</v>
      </c>
      <c r="CT27" s="9">
        <v>33.4</v>
      </c>
      <c r="CU27" s="9">
        <v>1.3</v>
      </c>
      <c r="CV27" s="9">
        <v>400.91852764639879</v>
      </c>
      <c r="CW27" s="9">
        <v>0.81</v>
      </c>
      <c r="CX27" s="9">
        <v>34.533854984992672</v>
      </c>
      <c r="CY27" s="9">
        <v>0.61783653279821493</v>
      </c>
      <c r="CZ27" s="9">
        <v>315.21791497760398</v>
      </c>
      <c r="DA27" s="9">
        <v>17.773430271787557</v>
      </c>
      <c r="DB27" s="9">
        <v>3.0493333031802883</v>
      </c>
      <c r="DC27" s="9">
        <v>38.143333435058594</v>
      </c>
      <c r="DD27" s="9">
        <v>85</v>
      </c>
      <c r="DE27" s="9">
        <v>89</v>
      </c>
      <c r="DF27" s="9">
        <v>121</v>
      </c>
      <c r="DG27" s="9">
        <v>96</v>
      </c>
      <c r="DH27" s="9">
        <v>36</v>
      </c>
      <c r="DI27" s="9">
        <v>14</v>
      </c>
      <c r="DJ27" s="9">
        <v>76.540000000000006</v>
      </c>
      <c r="DK27" s="9">
        <v>35.11</v>
      </c>
      <c r="DL27" s="9">
        <v>16.55</v>
      </c>
      <c r="DM27" s="9">
        <v>16.89</v>
      </c>
      <c r="DN27" s="9">
        <f t="shared" si="0"/>
        <v>18.559999999999999</v>
      </c>
      <c r="DO27" s="9">
        <f t="shared" si="1"/>
        <v>0.47137567644545714</v>
      </c>
    </row>
    <row r="28" spans="1:119" x14ac:dyDescent="0.25">
      <c r="A28" s="12">
        <v>3</v>
      </c>
      <c r="B28" s="12">
        <v>9</v>
      </c>
      <c r="C28" s="14" t="s">
        <v>213</v>
      </c>
      <c r="D28" s="8" t="s">
        <v>222</v>
      </c>
      <c r="E28" s="8">
        <v>3</v>
      </c>
      <c r="F28" s="9">
        <v>36.5</v>
      </c>
      <c r="G28" s="9">
        <v>0</v>
      </c>
      <c r="H28" s="9">
        <v>3</v>
      </c>
      <c r="I28" s="9">
        <v>22.9</v>
      </c>
      <c r="J28" s="9">
        <v>0.3</v>
      </c>
      <c r="K28" s="9">
        <v>27.1</v>
      </c>
      <c r="L28" s="9">
        <v>0.12</v>
      </c>
      <c r="M28" s="9">
        <v>0.21600000000000003</v>
      </c>
      <c r="N28" s="9">
        <v>0.12</v>
      </c>
      <c r="O28" s="9">
        <v>0.105</v>
      </c>
      <c r="P28" s="9">
        <v>6.3E-2</v>
      </c>
      <c r="Q28" s="9">
        <v>8.3039827024591286</v>
      </c>
      <c r="R28" s="9">
        <v>0.37398379079203614</v>
      </c>
      <c r="S28" s="9">
        <v>297.21473261830647</v>
      </c>
      <c r="T28" s="9">
        <v>7.1294011053667292</v>
      </c>
      <c r="U28" s="9">
        <v>1.939456796200882</v>
      </c>
      <c r="V28" s="9">
        <v>28.95557975769043</v>
      </c>
      <c r="W28" s="9">
        <v>60.861899999999999</v>
      </c>
      <c r="X28" s="9">
        <v>2.6541000000000001</v>
      </c>
      <c r="Y28" s="9">
        <v>8.3382000000000005</v>
      </c>
      <c r="Z28" s="9">
        <v>0.43609999999999999</v>
      </c>
      <c r="AA28" s="9">
        <v>60.861899999999999</v>
      </c>
      <c r="AB28" s="9">
        <v>9.0999999999999998E-2</v>
      </c>
      <c r="AC28" s="9">
        <v>216</v>
      </c>
      <c r="AD28" s="9">
        <v>63</v>
      </c>
      <c r="AE28" s="9">
        <v>20</v>
      </c>
      <c r="AF28" s="9">
        <v>52</v>
      </c>
      <c r="AG28" s="9">
        <v>45.7</v>
      </c>
      <c r="AH28" s="9">
        <v>36.200000000000003</v>
      </c>
      <c r="AI28" s="9">
        <v>0.8</v>
      </c>
      <c r="AJ28" s="9">
        <v>0.65</v>
      </c>
      <c r="AK28" s="9">
        <v>236.4</v>
      </c>
      <c r="AL28" s="9">
        <v>227.5</v>
      </c>
      <c r="AM28" s="9">
        <v>0.85</v>
      </c>
      <c r="AN28" s="9">
        <v>0.84</v>
      </c>
      <c r="AO28" s="9">
        <v>21.137</v>
      </c>
      <c r="AP28" s="9">
        <v>10.916</v>
      </c>
      <c r="AQ28" s="9">
        <v>14.31</v>
      </c>
      <c r="AR28" s="9">
        <v>3.512</v>
      </c>
      <c r="AS28" s="9">
        <v>20.443423667545435</v>
      </c>
      <c r="AT28" s="9">
        <v>3.343832560009475E-2</v>
      </c>
      <c r="AU28" s="9">
        <v>155.07286512450082</v>
      </c>
      <c r="AV28" s="9">
        <v>16.597820528703391</v>
      </c>
      <c r="AW28" s="9">
        <v>40.500590195191393</v>
      </c>
      <c r="AX28" s="9">
        <v>31.943219757690429</v>
      </c>
      <c r="AY28" s="9">
        <v>15.880878549545679</v>
      </c>
      <c r="AZ28" s="9">
        <v>3.5860674445342834E-2</v>
      </c>
      <c r="BA28" s="9">
        <v>202.86236870872546</v>
      </c>
      <c r="BB28" s="9">
        <v>14.527186508238429</v>
      </c>
      <c r="BC28" s="9">
        <v>32.323043668441727</v>
      </c>
      <c r="BD28" s="9">
        <v>27.00124643469043</v>
      </c>
      <c r="BE28" s="9">
        <f t="shared" ref="BE28:BK28" si="21">AVERAGE(BE26:BE27)</f>
        <v>316.93675000000002</v>
      </c>
      <c r="BF28" s="9">
        <f t="shared" si="21"/>
        <v>35.38721666666666</v>
      </c>
      <c r="BG28" s="9">
        <f t="shared" si="21"/>
        <v>111.17223333333334</v>
      </c>
      <c r="BH28" s="9">
        <f t="shared" si="21"/>
        <v>1.1024666666666665</v>
      </c>
      <c r="BI28" s="9">
        <f t="shared" si="21"/>
        <v>292.22991666666667</v>
      </c>
      <c r="BJ28" s="9">
        <f t="shared" si="21"/>
        <v>4.1318333333333328</v>
      </c>
      <c r="BK28" s="9">
        <f t="shared" si="21"/>
        <v>1279.3333333333335</v>
      </c>
      <c r="BL28" s="9">
        <v>103.6</v>
      </c>
      <c r="BM28" s="9">
        <v>41</v>
      </c>
      <c r="BN28" s="9">
        <v>137</v>
      </c>
      <c r="BO28" s="9">
        <v>32.700000000000003</v>
      </c>
      <c r="BP28" s="9">
        <v>41.1</v>
      </c>
      <c r="BQ28" s="9">
        <v>0.8</v>
      </c>
      <c r="BR28" s="9">
        <v>0.8</v>
      </c>
      <c r="BS28" s="9">
        <v>345.94292873858831</v>
      </c>
      <c r="BT28" s="9">
        <v>314.74339304151636</v>
      </c>
      <c r="BU28" s="9">
        <v>0.85</v>
      </c>
      <c r="BV28" s="9">
        <v>0.84</v>
      </c>
      <c r="BW28" s="9">
        <v>69.762</v>
      </c>
      <c r="BX28" s="9">
        <v>34.563000000000002</v>
      </c>
      <c r="BY28" s="9">
        <v>20.951000000000001</v>
      </c>
      <c r="BZ28" s="9">
        <v>10.930999999999999</v>
      </c>
      <c r="CA28" s="9">
        <v>28.438670053205648</v>
      </c>
      <c r="CB28" s="9">
        <v>8.0123215096840755E-2</v>
      </c>
      <c r="CC28" s="9">
        <v>246.15706305722065</v>
      </c>
      <c r="CD28" s="9">
        <v>21.046095247746187</v>
      </c>
      <c r="CE28" s="9">
        <v>22.635507440641405</v>
      </c>
      <c r="CF28" s="9">
        <v>32.694646434690434</v>
      </c>
      <c r="CG28" s="9">
        <v>20.989658293753052</v>
      </c>
      <c r="CH28" s="9">
        <v>4.7347591710259963E-2</v>
      </c>
      <c r="CI28" s="9">
        <v>248.52925445966088</v>
      </c>
      <c r="CJ28" s="9">
        <v>13.158008134805254</v>
      </c>
      <c r="CK28" s="9">
        <v>23.479784266376367</v>
      </c>
      <c r="CL28" s="9">
        <v>29.908226192380859</v>
      </c>
      <c r="CM28" s="9">
        <v>366.49220000000003</v>
      </c>
      <c r="CN28" s="9">
        <v>223.51820000000001</v>
      </c>
      <c r="CO28" s="9">
        <v>702.20309999999995</v>
      </c>
      <c r="CP28" s="9">
        <f>AVERAGE(CP26:CP27)</f>
        <v>3.9260000000000002</v>
      </c>
      <c r="CQ28" s="9">
        <v>366.49220000000003</v>
      </c>
      <c r="CR28" s="9">
        <v>107.066</v>
      </c>
      <c r="CS28" s="9">
        <v>3384</v>
      </c>
      <c r="CT28" s="9">
        <v>34.200000000000003</v>
      </c>
      <c r="CU28" s="9">
        <v>1.3</v>
      </c>
      <c r="CV28" s="9">
        <v>396.57822999628564</v>
      </c>
      <c r="CW28" s="9">
        <v>0.81</v>
      </c>
      <c r="CX28" s="9">
        <v>34.518201866915469</v>
      </c>
      <c r="CY28" s="9">
        <v>0.61783431204540284</v>
      </c>
      <c r="CZ28" s="9">
        <v>315.25969264353876</v>
      </c>
      <c r="DA28" s="9">
        <v>17.780329737593483</v>
      </c>
      <c r="DB28" s="9">
        <v>3.0504955961341569</v>
      </c>
      <c r="DC28" s="9">
        <v>38.147518157958984</v>
      </c>
      <c r="DD28" s="9">
        <v>85</v>
      </c>
      <c r="DE28" s="9">
        <v>89</v>
      </c>
      <c r="DF28" s="9">
        <v>121</v>
      </c>
      <c r="DG28" s="9">
        <v>100</v>
      </c>
      <c r="DH28" s="9">
        <v>38</v>
      </c>
      <c r="DI28" s="9">
        <v>12</v>
      </c>
      <c r="DJ28" s="9">
        <v>75.98</v>
      </c>
      <c r="DK28" s="9">
        <v>35.979999999999997</v>
      </c>
      <c r="DL28" s="9">
        <v>16.12</v>
      </c>
      <c r="DM28" s="9">
        <v>16.09</v>
      </c>
      <c r="DN28" s="9">
        <f t="shared" si="0"/>
        <v>19.859999999999996</v>
      </c>
      <c r="DO28" s="9">
        <f t="shared" si="1"/>
        <v>0.44802668148971658</v>
      </c>
    </row>
    <row r="29" spans="1:119" x14ac:dyDescent="0.25">
      <c r="A29" s="12">
        <v>1</v>
      </c>
      <c r="B29" s="12">
        <v>10</v>
      </c>
      <c r="C29" s="14" t="s">
        <v>214</v>
      </c>
      <c r="D29" s="8" t="s">
        <v>222</v>
      </c>
      <c r="E29" s="8">
        <v>1</v>
      </c>
      <c r="F29" s="9">
        <v>44.5</v>
      </c>
      <c r="G29" s="9">
        <v>0</v>
      </c>
      <c r="H29" s="9">
        <v>3</v>
      </c>
      <c r="I29" s="9">
        <v>24.7</v>
      </c>
      <c r="J29" s="9">
        <f>AVERAGE(J30:J31)</f>
        <v>0.45</v>
      </c>
      <c r="K29" s="9">
        <v>20.7</v>
      </c>
      <c r="L29" s="9">
        <v>0.2</v>
      </c>
      <c r="M29" s="9">
        <v>0.57099999999999995</v>
      </c>
      <c r="N29" s="9">
        <v>0.25600000000000001</v>
      </c>
      <c r="O29" s="9">
        <v>0.19800000000000001</v>
      </c>
      <c r="P29" s="9">
        <v>9.0999999999999998E-2</v>
      </c>
      <c r="Q29" s="9">
        <v>7.4037798485272193</v>
      </c>
      <c r="R29" s="9">
        <v>0.3777619915910585</v>
      </c>
      <c r="S29" s="9">
        <v>301.66044052836492</v>
      </c>
      <c r="T29" s="9">
        <v>7.1902502747912864</v>
      </c>
      <c r="U29" s="9">
        <v>1.9378506638381308</v>
      </c>
      <c r="V29" s="9">
        <v>28.952205657958984</v>
      </c>
      <c r="W29" s="9">
        <f>AVERAGE(W30:W31)</f>
        <v>75.986649999999997</v>
      </c>
      <c r="X29" s="9">
        <f t="shared" ref="X29:Y29" si="22">AVERAGE(X30:X31)</f>
        <v>3.6646999999999998</v>
      </c>
      <c r="Y29" s="9">
        <f t="shared" si="22"/>
        <v>11.513100000000001</v>
      </c>
      <c r="Z29" s="9">
        <f t="shared" ref="Z29" si="23">AVERAGE(Z30:Z31)</f>
        <v>0.48904999999999998</v>
      </c>
      <c r="AA29" s="9">
        <f t="shared" ref="AA29" si="24">AVERAGE(AA30:AA31)</f>
        <v>75.986649999999997</v>
      </c>
      <c r="AB29" s="9">
        <f t="shared" ref="AB29" si="25">AVERAGE(AB30:AB31)</f>
        <v>0.13950000000000001</v>
      </c>
      <c r="AC29" s="9">
        <v>486</v>
      </c>
      <c r="AD29" s="9">
        <v>69.599999999999994</v>
      </c>
      <c r="AE29" s="9">
        <v>12</v>
      </c>
      <c r="AF29" s="9">
        <v>33</v>
      </c>
      <c r="AG29" s="9">
        <v>47.1</v>
      </c>
      <c r="AH29" s="9">
        <v>32</v>
      </c>
      <c r="AI29" s="9">
        <v>1.1000000000000001</v>
      </c>
      <c r="AJ29" s="9">
        <v>1.1000000000000001</v>
      </c>
      <c r="AK29" s="9">
        <v>321.7</v>
      </c>
      <c r="AL29" s="9">
        <v>308.60000000000002</v>
      </c>
      <c r="AM29" s="9">
        <v>0.83</v>
      </c>
      <c r="AN29" s="9">
        <v>0.84</v>
      </c>
      <c r="AO29" s="9">
        <v>17.27</v>
      </c>
      <c r="AP29" s="9">
        <v>9.8119999999999994</v>
      </c>
      <c r="AQ29" s="9">
        <v>7.8609999999999998</v>
      </c>
      <c r="AR29" s="9">
        <v>2.3370000000000002</v>
      </c>
      <c r="AS29" s="9">
        <v>22.88311256470422</v>
      </c>
      <c r="AT29" s="9">
        <v>4.772695851511962E-2</v>
      </c>
      <c r="AU29" s="9">
        <v>190.51353659828092</v>
      </c>
      <c r="AV29" s="9">
        <v>17.530387066532672</v>
      </c>
      <c r="AW29" s="9">
        <v>33.37056295990137</v>
      </c>
      <c r="AX29" s="9">
        <v>31.939845657958983</v>
      </c>
      <c r="AY29" s="9">
        <v>20.492858860436918</v>
      </c>
      <c r="AZ29" s="9">
        <v>4.1594328090430441E-2</v>
      </c>
      <c r="BA29" s="9">
        <v>217.23280573171297</v>
      </c>
      <c r="BB29" s="9">
        <v>14.232271670858534</v>
      </c>
      <c r="BC29" s="9">
        <v>27.973072618136712</v>
      </c>
      <c r="BD29" s="9">
        <v>26.997872334958984</v>
      </c>
      <c r="BE29" s="9">
        <v>345.37300000000005</v>
      </c>
      <c r="BF29" s="9">
        <v>47.988933333333335</v>
      </c>
      <c r="BG29" s="9">
        <v>150.76176666666666</v>
      </c>
      <c r="BH29" s="9">
        <v>1.3940333333333335</v>
      </c>
      <c r="BI29" s="9">
        <v>345.37300000000005</v>
      </c>
      <c r="BJ29" s="9">
        <v>5.3833333333333329</v>
      </c>
      <c r="BK29" s="9">
        <v>1293</v>
      </c>
      <c r="BL29" s="9">
        <v>127.3</v>
      </c>
      <c r="BM29" s="9">
        <v>12</v>
      </c>
      <c r="BN29" s="9">
        <v>45</v>
      </c>
      <c r="BO29" s="9">
        <v>39.5</v>
      </c>
      <c r="BP29" s="9">
        <v>47.1</v>
      </c>
      <c r="BQ29" s="9">
        <v>0.9</v>
      </c>
      <c r="BR29" s="9">
        <v>0.9</v>
      </c>
      <c r="BS29" s="9">
        <v>376.06191760057914</v>
      </c>
      <c r="BT29" s="9">
        <v>314.74339304151636</v>
      </c>
      <c r="BU29" s="9">
        <v>0.83</v>
      </c>
      <c r="BV29" s="9">
        <v>0.84</v>
      </c>
      <c r="BW29" s="9">
        <v>57.911999999999999</v>
      </c>
      <c r="BX29" s="9">
        <v>35.917000000000002</v>
      </c>
      <c r="BY29" s="9">
        <v>17.841999999999999</v>
      </c>
      <c r="BZ29" s="9">
        <v>11.512</v>
      </c>
      <c r="CA29" s="9">
        <v>22.88311256470422</v>
      </c>
      <c r="CB29" s="9">
        <v>4.772695851511962E-2</v>
      </c>
      <c r="CC29" s="9">
        <v>190.51353659828092</v>
      </c>
      <c r="CD29" s="9">
        <v>17.530387066532672</v>
      </c>
      <c r="CE29" s="9">
        <v>33.37056295990137</v>
      </c>
      <c r="CF29" s="9">
        <v>32.691272334958988</v>
      </c>
      <c r="CG29" s="9">
        <v>20.614120326816998</v>
      </c>
      <c r="CH29" s="9">
        <v>5.4834634457700739E-2</v>
      </c>
      <c r="CI29" s="9">
        <v>235.93018847622261</v>
      </c>
      <c r="CJ29" s="9">
        <v>16.098730825462646</v>
      </c>
      <c r="CK29" s="9">
        <v>25.182525464852972</v>
      </c>
      <c r="CL29" s="9">
        <v>29.901477992917968</v>
      </c>
      <c r="CM29" s="9">
        <v>327.47239999999999</v>
      </c>
      <c r="CN29" s="9">
        <f>AVERAGE(CN30:CN31)</f>
        <v>121.02235</v>
      </c>
      <c r="CO29" s="9">
        <f>AVERAGE(CO30:CO31)</f>
        <v>380.20285000000001</v>
      </c>
      <c r="CP29" s="9">
        <f>AVERAGE(CP30:CP31)</f>
        <v>2.4996999999999998</v>
      </c>
      <c r="CQ29" s="9">
        <v>327.47239999999999</v>
      </c>
      <c r="CR29" s="9">
        <v>97.326999999999998</v>
      </c>
      <c r="CS29" s="9">
        <v>2953</v>
      </c>
      <c r="CT29" s="9">
        <v>29.1</v>
      </c>
      <c r="CU29" s="9">
        <v>1.3</v>
      </c>
      <c r="CV29" s="9">
        <v>361.12798194354508</v>
      </c>
      <c r="CW29" s="9">
        <v>0.81</v>
      </c>
      <c r="CX29" s="9">
        <v>22.640802966178498</v>
      </c>
      <c r="CY29" s="9">
        <v>0.32502196847098058</v>
      </c>
      <c r="CZ29" s="9">
        <v>296.4880553720235</v>
      </c>
      <c r="DA29" s="9">
        <v>12.333611072411816</v>
      </c>
      <c r="DB29" s="9">
        <v>3.7874485465958387</v>
      </c>
      <c r="DC29" s="9">
        <v>39.720523834228516</v>
      </c>
      <c r="DD29" s="9">
        <v>84</v>
      </c>
      <c r="DE29" s="9">
        <v>87</v>
      </c>
      <c r="DF29" s="9">
        <v>120</v>
      </c>
      <c r="DG29" s="9">
        <v>113</v>
      </c>
      <c r="DH29" s="9">
        <v>12</v>
      </c>
      <c r="DI29" s="9">
        <v>10</v>
      </c>
      <c r="DJ29" s="9">
        <v>56.112000000000002</v>
      </c>
      <c r="DK29" s="9">
        <v>30.25</v>
      </c>
      <c r="DL29" s="9">
        <v>10.11</v>
      </c>
      <c r="DM29" s="9">
        <v>16.11</v>
      </c>
      <c r="DN29" s="9">
        <f t="shared" si="0"/>
        <v>20.14</v>
      </c>
      <c r="DO29" s="9">
        <f t="shared" si="1"/>
        <v>0.33421487603305783</v>
      </c>
    </row>
    <row r="30" spans="1:119" x14ac:dyDescent="0.25">
      <c r="A30" s="12">
        <v>2</v>
      </c>
      <c r="B30" s="12">
        <v>10</v>
      </c>
      <c r="C30" s="14" t="s">
        <v>214</v>
      </c>
      <c r="D30" s="8" t="s">
        <v>222</v>
      </c>
      <c r="E30" s="8">
        <v>2</v>
      </c>
      <c r="F30" s="9">
        <v>36.700000000000003</v>
      </c>
      <c r="G30" s="9">
        <v>0</v>
      </c>
      <c r="H30" s="9">
        <v>3</v>
      </c>
      <c r="I30" s="9">
        <v>24.8</v>
      </c>
      <c r="J30" s="9">
        <v>0.4</v>
      </c>
      <c r="K30" s="9">
        <v>10.8</v>
      </c>
      <c r="L30" s="9">
        <v>0.15</v>
      </c>
      <c r="M30" s="9">
        <v>0.48899999999999999</v>
      </c>
      <c r="N30" s="9">
        <v>0.15</v>
      </c>
      <c r="O30" s="9">
        <v>9.8000000000000004E-2</v>
      </c>
      <c r="P30" s="9">
        <v>8.6999999999999994E-2</v>
      </c>
      <c r="Q30" s="9">
        <v>7.6236774902289586</v>
      </c>
      <c r="R30" s="9">
        <v>0.37911164382069462</v>
      </c>
      <c r="S30" s="9">
        <v>300.7010298124938</v>
      </c>
      <c r="T30" s="9">
        <v>7.2149508760382082</v>
      </c>
      <c r="U30" s="9">
        <v>1.9380773402867515</v>
      </c>
      <c r="V30" s="9">
        <v>28.955080032348633</v>
      </c>
      <c r="W30" s="9">
        <v>61.054099999999998</v>
      </c>
      <c r="X30" s="9">
        <v>3.1956000000000002</v>
      </c>
      <c r="Y30" s="9">
        <v>10.039400000000001</v>
      </c>
      <c r="Z30" s="9">
        <v>0.52339999999999998</v>
      </c>
      <c r="AA30" s="9">
        <v>61.054099999999998</v>
      </c>
      <c r="AB30" s="9">
        <v>0.13100000000000001</v>
      </c>
      <c r="AC30" s="9">
        <v>230</v>
      </c>
      <c r="AD30" s="9">
        <v>69.7</v>
      </c>
      <c r="AE30" s="9">
        <v>6</v>
      </c>
      <c r="AF30" s="9">
        <v>17</v>
      </c>
      <c r="AG30" s="9">
        <v>46.2</v>
      </c>
      <c r="AH30" s="9">
        <v>27.6</v>
      </c>
      <c r="AI30" s="9">
        <v>0.8</v>
      </c>
      <c r="AJ30" s="9">
        <v>0.6</v>
      </c>
      <c r="AK30" s="9">
        <v>325.89999999999998</v>
      </c>
      <c r="AL30" s="9">
        <v>321.60000000000002</v>
      </c>
      <c r="AM30" s="9">
        <v>0.82</v>
      </c>
      <c r="AN30" s="9">
        <v>0.81</v>
      </c>
      <c r="AO30" s="9">
        <v>8.2899999999999991</v>
      </c>
      <c r="AP30" s="9">
        <v>4.32</v>
      </c>
      <c r="AQ30" s="9">
        <v>4.3209999999999997</v>
      </c>
      <c r="AR30" s="9">
        <v>1.885</v>
      </c>
      <c r="AS30" s="9">
        <v>18.047628109408691</v>
      </c>
      <c r="AT30" s="9">
        <v>6.8616362380449589E-2</v>
      </c>
      <c r="AU30" s="9">
        <v>264.08757990922527</v>
      </c>
      <c r="AV30" s="9">
        <v>16.172689733126031</v>
      </c>
      <c r="AW30" s="9">
        <v>20.454326856999764</v>
      </c>
      <c r="AX30" s="9">
        <v>31.942720032348632</v>
      </c>
      <c r="AY30" s="9">
        <v>14.986139185832206</v>
      </c>
      <c r="AZ30" s="9">
        <v>3.1969042696952436E-2</v>
      </c>
      <c r="BA30" s="9">
        <v>185.09870261084956</v>
      </c>
      <c r="BB30" s="9">
        <v>12.15046850502722</v>
      </c>
      <c r="BC30" s="9">
        <v>35.273233896839741</v>
      </c>
      <c r="BD30" s="9">
        <v>27.000746709348633</v>
      </c>
      <c r="BE30" s="9">
        <v>260.82633333333337</v>
      </c>
      <c r="BF30" s="9">
        <v>16.220000000000002</v>
      </c>
      <c r="BG30" s="9">
        <v>50.956600000000002</v>
      </c>
      <c r="BH30" s="9">
        <v>0.66993333333333327</v>
      </c>
      <c r="BI30" s="9">
        <v>254.3425666666667</v>
      </c>
      <c r="BJ30" s="9">
        <v>0.82266666666666666</v>
      </c>
      <c r="BK30" s="9">
        <v>1239.6666666666667</v>
      </c>
      <c r="BL30" s="9">
        <v>129.5</v>
      </c>
      <c r="BM30" s="9">
        <v>13</v>
      </c>
      <c r="BN30" s="9">
        <v>52</v>
      </c>
      <c r="BO30" s="9">
        <v>34.799999999999997</v>
      </c>
      <c r="BP30" s="9">
        <v>42.1</v>
      </c>
      <c r="BQ30" s="9">
        <v>0.9</v>
      </c>
      <c r="BR30" s="9">
        <v>0.9</v>
      </c>
      <c r="BS30" s="9">
        <v>373.09441039307023</v>
      </c>
      <c r="BT30" s="9">
        <v>317.91672043974671</v>
      </c>
      <c r="BU30" s="9">
        <v>0.84</v>
      </c>
      <c r="BV30" s="9">
        <v>0.81</v>
      </c>
      <c r="BW30" s="9">
        <v>63.764000000000003</v>
      </c>
      <c r="BX30" s="9">
        <v>32.451999999999998</v>
      </c>
      <c r="BY30" s="9">
        <v>16.975000000000001</v>
      </c>
      <c r="BZ30" s="9">
        <v>10.512</v>
      </c>
      <c r="CA30" s="9">
        <v>20.492858860436918</v>
      </c>
      <c r="CB30" s="9">
        <v>4.1594328090430441E-2</v>
      </c>
      <c r="CC30" s="9">
        <v>217.23280573171297</v>
      </c>
      <c r="CD30" s="9">
        <v>14.232271670858534</v>
      </c>
      <c r="CE30" s="9">
        <v>27.973072618136712</v>
      </c>
      <c r="CF30" s="9">
        <v>32.694146709348637</v>
      </c>
      <c r="CG30" s="9">
        <v>18.047628109408691</v>
      </c>
      <c r="CH30" s="9">
        <v>6.8616362380449589E-2</v>
      </c>
      <c r="CI30" s="9">
        <v>264.08757990922527</v>
      </c>
      <c r="CJ30" s="9">
        <v>16.172689733126031</v>
      </c>
      <c r="CK30" s="9">
        <v>20.454326856999764</v>
      </c>
      <c r="CL30" s="9">
        <v>29.907226741697265</v>
      </c>
      <c r="CM30" s="9">
        <v>483.7989</v>
      </c>
      <c r="CN30" s="9">
        <v>118.4872</v>
      </c>
      <c r="CO30" s="9">
        <v>372.23840000000001</v>
      </c>
      <c r="CP30" s="9">
        <v>2.4491000000000001</v>
      </c>
      <c r="CQ30" s="9">
        <v>483.7989</v>
      </c>
      <c r="CR30" s="9">
        <v>22.791</v>
      </c>
      <c r="CS30" s="9">
        <v>2361</v>
      </c>
      <c r="CT30" s="9">
        <v>31.5</v>
      </c>
      <c r="CU30" s="9">
        <v>1.3</v>
      </c>
      <c r="CV30" s="9">
        <v>367.13073469834967</v>
      </c>
      <c r="CW30" s="9">
        <v>0.81</v>
      </c>
      <c r="CX30" s="9">
        <v>22.682775059032362</v>
      </c>
      <c r="CY30" s="9">
        <v>0.32445142999858256</v>
      </c>
      <c r="CZ30" s="9">
        <v>296.0635253193953</v>
      </c>
      <c r="DA30" s="9">
        <v>12.315233469648598</v>
      </c>
      <c r="DB30" s="9">
        <v>3.7880011891126739</v>
      </c>
      <c r="DC30" s="9">
        <v>39.720390319824219</v>
      </c>
      <c r="DD30" s="9">
        <v>84</v>
      </c>
      <c r="DE30" s="9">
        <v>87</v>
      </c>
      <c r="DF30" s="9">
        <v>120</v>
      </c>
      <c r="DG30" s="9">
        <v>105</v>
      </c>
      <c r="DH30" s="9">
        <v>15</v>
      </c>
      <c r="DI30" s="9">
        <v>8</v>
      </c>
      <c r="DJ30" s="9">
        <v>55.12</v>
      </c>
      <c r="DK30" s="9">
        <v>29.87</v>
      </c>
      <c r="DL30" s="9">
        <v>9.43</v>
      </c>
      <c r="DM30" s="9">
        <v>15.97</v>
      </c>
      <c r="DN30" s="9">
        <f t="shared" si="0"/>
        <v>20.440000000000001</v>
      </c>
      <c r="DO30" s="9">
        <f t="shared" si="1"/>
        <v>0.31570137261466352</v>
      </c>
    </row>
    <row r="31" spans="1:119" x14ac:dyDescent="0.25">
      <c r="A31" s="12">
        <v>3</v>
      </c>
      <c r="B31" s="12">
        <v>10</v>
      </c>
      <c r="C31" s="14" t="s">
        <v>214</v>
      </c>
      <c r="D31" s="8" t="s">
        <v>222</v>
      </c>
      <c r="E31" s="8">
        <v>3</v>
      </c>
      <c r="F31" s="9">
        <v>42.5</v>
      </c>
      <c r="G31" s="9">
        <v>0</v>
      </c>
      <c r="H31" s="9">
        <v>3</v>
      </c>
      <c r="I31" s="9">
        <v>28.8</v>
      </c>
      <c r="J31" s="9">
        <v>0.5</v>
      </c>
      <c r="K31" s="9">
        <v>11.4</v>
      </c>
      <c r="L31" s="9">
        <v>0.1</v>
      </c>
      <c r="M31" s="9">
        <v>0.44600000000000001</v>
      </c>
      <c r="N31" s="9">
        <v>0.23</v>
      </c>
      <c r="O31" s="9">
        <v>0.16500000000000001</v>
      </c>
      <c r="P31" s="9">
        <v>8.1000000000000003E-2</v>
      </c>
      <c r="Q31" s="9">
        <v>7.4824919816752908</v>
      </c>
      <c r="R31" s="9">
        <v>0.38084933946421129</v>
      </c>
      <c r="S31" s="9">
        <v>301.45636252540709</v>
      </c>
      <c r="T31" s="9">
        <v>7.2411509530424851</v>
      </c>
      <c r="U31" s="9">
        <v>1.9368951891416812</v>
      </c>
      <c r="V31" s="9">
        <v>28.951000213623047</v>
      </c>
      <c r="W31" s="9">
        <v>90.919200000000004</v>
      </c>
      <c r="X31" s="9">
        <v>4.1337999999999999</v>
      </c>
      <c r="Y31" s="9">
        <v>12.986800000000001</v>
      </c>
      <c r="Z31" s="9">
        <v>0.45469999999999999</v>
      </c>
      <c r="AA31" s="9">
        <v>90.919200000000004</v>
      </c>
      <c r="AB31" s="9">
        <v>0.14799999999999999</v>
      </c>
      <c r="AC31" s="9">
        <v>367</v>
      </c>
      <c r="AD31" s="9">
        <v>47.5</v>
      </c>
      <c r="AE31" s="9">
        <v>14</v>
      </c>
      <c r="AF31" s="9">
        <v>40</v>
      </c>
      <c r="AG31" s="9">
        <v>32.5</v>
      </c>
      <c r="AH31" s="9">
        <v>23.5</v>
      </c>
      <c r="AI31" s="9">
        <v>0.9</v>
      </c>
      <c r="AJ31" s="9">
        <v>0.7</v>
      </c>
      <c r="AK31" s="9">
        <v>329.1</v>
      </c>
      <c r="AL31" s="9">
        <v>317.5</v>
      </c>
      <c r="AM31" s="9">
        <v>0.81</v>
      </c>
      <c r="AN31" s="9">
        <v>0.83</v>
      </c>
      <c r="AO31" s="9">
        <v>18.760000000000002</v>
      </c>
      <c r="AP31" s="9">
        <v>8.9760000000000009</v>
      </c>
      <c r="AQ31" s="9">
        <v>5.62</v>
      </c>
      <c r="AR31" s="9">
        <v>2.0569999999999999</v>
      </c>
      <c r="AS31" s="9">
        <v>22.327649768723681</v>
      </c>
      <c r="AT31" s="9">
        <v>3.1326718950295672E-2</v>
      </c>
      <c r="AU31" s="9">
        <v>137.34617513536398</v>
      </c>
      <c r="AV31" s="9">
        <v>15.963296434449678</v>
      </c>
      <c r="AW31" s="9">
        <v>43.496715433525125</v>
      </c>
      <c r="AX31" s="9">
        <v>31.938640213623046</v>
      </c>
      <c r="AY31" s="9">
        <v>19.831417350240837</v>
      </c>
      <c r="AZ31" s="9">
        <v>2.6844799947899557E-2</v>
      </c>
      <c r="BA31" s="9">
        <v>158.21308871886308</v>
      </c>
      <c r="BB31" s="9">
        <v>12.581010039144362</v>
      </c>
      <c r="BC31" s="9">
        <v>39.569260918761387</v>
      </c>
      <c r="BD31" s="9">
        <v>26.996666890623047</v>
      </c>
      <c r="BE31" s="9">
        <f t="shared" ref="BE31:BK31" si="26">AVERAGE(BE29:BE30)</f>
        <v>303.09966666666674</v>
      </c>
      <c r="BF31" s="9">
        <f t="shared" si="26"/>
        <v>32.104466666666667</v>
      </c>
      <c r="BG31" s="9">
        <f t="shared" si="26"/>
        <v>100.85918333333333</v>
      </c>
      <c r="BH31" s="9">
        <f t="shared" si="26"/>
        <v>1.0319833333333333</v>
      </c>
      <c r="BI31" s="9">
        <f t="shared" si="26"/>
        <v>299.85778333333337</v>
      </c>
      <c r="BJ31" s="9">
        <f t="shared" si="26"/>
        <v>3.1029999999999998</v>
      </c>
      <c r="BK31" s="9">
        <f t="shared" si="26"/>
        <v>1266.3333333333335</v>
      </c>
      <c r="BL31" s="9">
        <v>125.6</v>
      </c>
      <c r="BM31" s="9">
        <v>9</v>
      </c>
      <c r="BN31" s="9">
        <v>31</v>
      </c>
      <c r="BO31" s="9">
        <v>44.3</v>
      </c>
      <c r="BP31" s="9">
        <v>43.5</v>
      </c>
      <c r="BQ31" s="9">
        <v>0.9</v>
      </c>
      <c r="BR31" s="9">
        <v>0.9</v>
      </c>
      <c r="BS31" s="9">
        <v>379.02003750596458</v>
      </c>
      <c r="BT31" s="9">
        <v>322.65359817659578</v>
      </c>
      <c r="BU31" s="9">
        <v>0.81</v>
      </c>
      <c r="BV31" s="9">
        <v>0.83</v>
      </c>
      <c r="BW31" s="9">
        <v>59.316000000000003</v>
      </c>
      <c r="BX31" s="9">
        <v>32.415999999999997</v>
      </c>
      <c r="BY31" s="9">
        <v>16.914999999999999</v>
      </c>
      <c r="BZ31" s="9">
        <v>9.3420000000000005</v>
      </c>
      <c r="CA31" s="9">
        <v>22.327649768723681</v>
      </c>
      <c r="CB31" s="9">
        <v>3.1326718950295672E-2</v>
      </c>
      <c r="CC31" s="9">
        <v>137.34617513536398</v>
      </c>
      <c r="CD31" s="9">
        <v>15.963296434449678</v>
      </c>
      <c r="CE31" s="9">
        <v>43.496715433525125</v>
      </c>
      <c r="CF31" s="9">
        <v>32.690066890623051</v>
      </c>
      <c r="CG31" s="9">
        <v>19.831417350240837</v>
      </c>
      <c r="CH31" s="9">
        <v>2.6844799947899557E-2</v>
      </c>
      <c r="CI31" s="9">
        <v>158.21308871886308</v>
      </c>
      <c r="CJ31" s="9">
        <v>12.581010039144362</v>
      </c>
      <c r="CK31" s="9">
        <v>39.569260918761387</v>
      </c>
      <c r="CL31" s="9">
        <v>29.899067104246093</v>
      </c>
      <c r="CM31" s="9">
        <v>484.48989999999998</v>
      </c>
      <c r="CN31" s="9">
        <v>123.5575</v>
      </c>
      <c r="CO31" s="9">
        <v>388.16730000000001</v>
      </c>
      <c r="CP31" s="9">
        <v>2.5503</v>
      </c>
      <c r="CQ31" s="9">
        <v>484.48989999999998</v>
      </c>
      <c r="CR31" s="9">
        <v>24.748000000000001</v>
      </c>
      <c r="CS31" s="9">
        <v>3525</v>
      </c>
      <c r="CT31" s="9">
        <v>33.1</v>
      </c>
      <c r="CU31" s="9">
        <v>1.3</v>
      </c>
      <c r="CV31" s="9">
        <v>364.13430914210937</v>
      </c>
      <c r="CW31" s="9">
        <v>0.81</v>
      </c>
      <c r="CX31" s="9">
        <v>22.663426518714342</v>
      </c>
      <c r="CY31" s="9">
        <v>0.32389700046258152</v>
      </c>
      <c r="CZ31" s="9">
        <v>295.98233824330003</v>
      </c>
      <c r="DA31" s="9">
        <v>12.301459470885344</v>
      </c>
      <c r="DB31" s="9">
        <v>3.7897733922330077</v>
      </c>
      <c r="DC31" s="9">
        <v>39.723846435546875</v>
      </c>
      <c r="DD31" s="9">
        <v>84</v>
      </c>
      <c r="DE31" s="9">
        <v>87</v>
      </c>
      <c r="DF31" s="9">
        <v>120</v>
      </c>
      <c r="DG31" s="9">
        <v>119</v>
      </c>
      <c r="DH31" s="9">
        <v>15</v>
      </c>
      <c r="DI31" s="9">
        <v>10</v>
      </c>
      <c r="DJ31" s="9">
        <v>56.97</v>
      </c>
      <c r="DK31" s="9">
        <v>29.67</v>
      </c>
      <c r="DL31" s="9">
        <v>9.57</v>
      </c>
      <c r="DM31" s="9">
        <v>15.12</v>
      </c>
      <c r="DN31" s="9">
        <f t="shared" si="0"/>
        <v>20.100000000000001</v>
      </c>
      <c r="DO31" s="9">
        <f t="shared" si="1"/>
        <v>0.32254802831142565</v>
      </c>
    </row>
    <row r="32" spans="1:119" x14ac:dyDescent="0.25">
      <c r="A32" s="12">
        <v>1</v>
      </c>
      <c r="B32" s="12">
        <v>11</v>
      </c>
      <c r="C32" s="14" t="s">
        <v>215</v>
      </c>
      <c r="D32" s="8" t="s">
        <v>222</v>
      </c>
      <c r="E32" s="8">
        <v>1</v>
      </c>
      <c r="F32" s="9">
        <v>45.6</v>
      </c>
      <c r="G32" s="9">
        <v>0</v>
      </c>
      <c r="H32" s="9">
        <v>3</v>
      </c>
      <c r="I32" s="9">
        <v>27.5</v>
      </c>
      <c r="J32" s="9">
        <v>0.4</v>
      </c>
      <c r="K32" s="9">
        <v>15.6</v>
      </c>
      <c r="L32" s="9">
        <v>0.2</v>
      </c>
      <c r="M32" s="9">
        <v>0.36699999999999999</v>
      </c>
      <c r="N32" s="9">
        <v>0.215</v>
      </c>
      <c r="O32" s="9">
        <v>0.115</v>
      </c>
      <c r="P32" s="9">
        <v>9.9000000000000005E-2</v>
      </c>
      <c r="Q32" s="9">
        <v>5.8040374677660331</v>
      </c>
      <c r="R32" s="9">
        <v>5.7201228205479293E-2</v>
      </c>
      <c r="S32" s="9">
        <v>170.18944146157901</v>
      </c>
      <c r="T32" s="9">
        <v>1.4118412112152026</v>
      </c>
      <c r="U32" s="9">
        <v>2.3589840408799017</v>
      </c>
      <c r="V32" s="9">
        <v>29.722293853759766</v>
      </c>
      <c r="W32" s="9">
        <v>351.4128</v>
      </c>
      <c r="X32" s="9">
        <v>13.0846</v>
      </c>
      <c r="Y32" s="9">
        <v>41.1066</v>
      </c>
      <c r="Z32" s="9">
        <v>0.37230000000000002</v>
      </c>
      <c r="AA32" s="9">
        <v>351.4128</v>
      </c>
      <c r="AB32" s="9">
        <v>0.38300000000000001</v>
      </c>
      <c r="AC32" s="9">
        <v>1718</v>
      </c>
      <c r="AD32" s="9">
        <v>71.099999999999994</v>
      </c>
      <c r="AE32" s="9">
        <v>7</v>
      </c>
      <c r="AF32" s="9">
        <v>20</v>
      </c>
      <c r="AG32" s="9">
        <v>50.3</v>
      </c>
      <c r="AH32" s="9">
        <v>36.9</v>
      </c>
      <c r="AI32" s="9">
        <v>1</v>
      </c>
      <c r="AJ32" s="9">
        <v>1</v>
      </c>
      <c r="AK32" s="9">
        <v>296.5</v>
      </c>
      <c r="AL32" s="9">
        <v>251.7</v>
      </c>
      <c r="AM32" s="9">
        <v>0.83</v>
      </c>
      <c r="AN32" s="9">
        <v>0.84</v>
      </c>
      <c r="AO32" s="9">
        <v>9.7940000000000005</v>
      </c>
      <c r="AP32" s="9">
        <v>4.3559999999999999</v>
      </c>
      <c r="AQ32" s="9">
        <v>3.8460000000000001</v>
      </c>
      <c r="AR32" s="9">
        <v>1.0920000000000001</v>
      </c>
      <c r="AS32" s="9">
        <v>21.39887411744817</v>
      </c>
      <c r="AT32" s="9">
        <v>5.9417294328327375E-2</v>
      </c>
      <c r="AU32" s="9">
        <v>248.50818428600803</v>
      </c>
      <c r="AV32" s="9">
        <v>16.037149988684622</v>
      </c>
      <c r="AW32" s="9">
        <v>22.609019379401698</v>
      </c>
      <c r="AX32" s="9">
        <v>32.709933853759765</v>
      </c>
      <c r="AY32" s="9">
        <v>14.316099244994479</v>
      </c>
      <c r="AZ32" s="9">
        <v>3.5662593023687773E-2</v>
      </c>
      <c r="BA32" s="9">
        <v>242.3504667208469</v>
      </c>
      <c r="BB32" s="9">
        <v>10.716739462771725</v>
      </c>
      <c r="BC32" s="9">
        <v>25.159853566290817</v>
      </c>
      <c r="BD32" s="9">
        <v>27.767960530759765</v>
      </c>
      <c r="BE32" s="9">
        <v>269.6044</v>
      </c>
      <c r="BF32" s="9">
        <v>31.776900000000001</v>
      </c>
      <c r="BG32" s="9">
        <v>99.830100000000002</v>
      </c>
      <c r="BH32" s="9">
        <v>1.1830000000000001</v>
      </c>
      <c r="BI32" s="9">
        <v>269.6044</v>
      </c>
      <c r="BJ32" s="9">
        <v>3.1826666666666665</v>
      </c>
      <c r="BK32" s="9">
        <v>904.33333333333337</v>
      </c>
      <c r="BL32" s="9">
        <v>80.099999999999994</v>
      </c>
      <c r="BM32" s="9">
        <v>17</v>
      </c>
      <c r="BN32" s="9">
        <v>65</v>
      </c>
      <c r="BO32" s="9">
        <v>34.799999999999997</v>
      </c>
      <c r="BP32" s="9">
        <v>43.7</v>
      </c>
      <c r="BQ32" s="9">
        <v>1.1000000000000001</v>
      </c>
      <c r="BR32" s="9">
        <v>1.1000000000000001</v>
      </c>
      <c r="BS32" s="9">
        <v>345.94292873858831</v>
      </c>
      <c r="BT32" s="9">
        <v>300.30491339493415</v>
      </c>
      <c r="BU32" s="9">
        <v>0.83</v>
      </c>
      <c r="BV32" s="9">
        <v>0.84</v>
      </c>
      <c r="BW32" s="9">
        <v>25.161999999999999</v>
      </c>
      <c r="BX32" s="9">
        <v>16.742000000000001</v>
      </c>
      <c r="BY32" s="9">
        <v>9.6210000000000004</v>
      </c>
      <c r="BZ32" s="9">
        <v>6.7320000000000002</v>
      </c>
      <c r="CA32" s="9">
        <v>21.398874117448166</v>
      </c>
      <c r="CB32" s="9">
        <v>5.9417294328327375E-2</v>
      </c>
      <c r="CC32" s="9">
        <v>248.50818428600806</v>
      </c>
      <c r="CD32" s="9">
        <v>16.037149988684618</v>
      </c>
      <c r="CE32" s="9">
        <v>22.609019379401694</v>
      </c>
      <c r="CF32" s="9">
        <v>33.461360530759762</v>
      </c>
      <c r="CG32" s="9">
        <v>14.316099244994479</v>
      </c>
      <c r="CH32" s="9">
        <v>3.5662593023687773E-2</v>
      </c>
      <c r="CI32" s="9">
        <v>242.3504667208469</v>
      </c>
      <c r="CJ32" s="9">
        <v>10.716739462771725</v>
      </c>
      <c r="CK32" s="9">
        <v>25.159853566290817</v>
      </c>
      <c r="CL32" s="9">
        <v>31.441654384519531</v>
      </c>
      <c r="CM32" s="9">
        <f>AVERAGE(CM33:CM34)</f>
        <v>411.73995000000002</v>
      </c>
      <c r="CN32" s="9">
        <v>90.411500000000004</v>
      </c>
      <c r="CO32" s="9">
        <v>284.036</v>
      </c>
      <c r="CP32" s="9">
        <v>4.8029999999999999</v>
      </c>
      <c r="CQ32" s="9">
        <v>388.23899999999998</v>
      </c>
      <c r="CR32" s="9">
        <v>34.106000000000002</v>
      </c>
      <c r="CS32" s="9">
        <v>1700</v>
      </c>
      <c r="CT32" s="9">
        <v>27.1</v>
      </c>
      <c r="CU32" s="9">
        <v>1.2</v>
      </c>
      <c r="CV32" s="9">
        <v>371.60709787775426</v>
      </c>
      <c r="CW32" s="9">
        <v>0.82</v>
      </c>
      <c r="CX32" s="9">
        <v>32.92285520515393</v>
      </c>
      <c r="CY32" s="9">
        <v>0.62585618083503747</v>
      </c>
      <c r="CZ32" s="9">
        <v>314.07312692583247</v>
      </c>
      <c r="DA32" s="9">
        <v>18.605848105898101</v>
      </c>
      <c r="DB32" s="9">
        <v>3.1693998328331547</v>
      </c>
      <c r="DC32" s="9">
        <v>39.222873687744141</v>
      </c>
      <c r="DD32" s="9">
        <v>78</v>
      </c>
      <c r="DE32" s="9">
        <v>83</v>
      </c>
      <c r="DF32" s="9">
        <v>116</v>
      </c>
      <c r="DG32" s="9">
        <v>95</v>
      </c>
      <c r="DH32" s="9">
        <v>21</v>
      </c>
      <c r="DI32" s="9">
        <v>13</v>
      </c>
      <c r="DJ32" s="9">
        <v>65.48</v>
      </c>
      <c r="DK32" s="9">
        <v>33.22</v>
      </c>
      <c r="DL32" s="9">
        <v>16.11</v>
      </c>
      <c r="DM32" s="9">
        <v>17.64</v>
      </c>
      <c r="DN32" s="9">
        <f t="shared" si="0"/>
        <v>17.11</v>
      </c>
      <c r="DO32" s="9">
        <f t="shared" si="1"/>
        <v>0.48494882600842865</v>
      </c>
    </row>
    <row r="33" spans="1:119" x14ac:dyDescent="0.25">
      <c r="A33" s="12">
        <v>2</v>
      </c>
      <c r="B33" s="12">
        <v>11</v>
      </c>
      <c r="C33" s="14" t="s">
        <v>215</v>
      </c>
      <c r="D33" s="8" t="s">
        <v>222</v>
      </c>
      <c r="E33" s="8">
        <v>2</v>
      </c>
      <c r="F33" s="9">
        <v>44.8</v>
      </c>
      <c r="G33" s="9">
        <v>0</v>
      </c>
      <c r="H33" s="9">
        <v>3</v>
      </c>
      <c r="I33" s="9">
        <v>27.4</v>
      </c>
      <c r="J33" s="9">
        <v>0.6</v>
      </c>
      <c r="K33" s="9">
        <v>16.7</v>
      </c>
      <c r="L33" s="9">
        <v>0.15</v>
      </c>
      <c r="M33" s="9">
        <v>0.39400000000000002</v>
      </c>
      <c r="N33" s="9">
        <v>0.215</v>
      </c>
      <c r="O33" s="9">
        <v>0.129</v>
      </c>
      <c r="P33" s="9">
        <v>0.10100000000000001</v>
      </c>
      <c r="Q33" s="9">
        <v>5.1754677090793377</v>
      </c>
      <c r="R33" s="9">
        <v>2.6028859511657919E-2</v>
      </c>
      <c r="S33" s="9">
        <v>170.62476646421399</v>
      </c>
      <c r="T33" s="9">
        <v>1.6750811263604799</v>
      </c>
      <c r="U33" s="9">
        <v>2.462178854552616</v>
      </c>
      <c r="V33" s="9">
        <v>30.013750076293945</v>
      </c>
      <c r="W33" s="9">
        <v>362.55070000000001</v>
      </c>
      <c r="X33" s="9">
        <v>14.828900000000001</v>
      </c>
      <c r="Y33" s="9">
        <v>46.586300000000001</v>
      </c>
      <c r="Z33" s="9">
        <v>0.40899999999999997</v>
      </c>
      <c r="AA33" s="9">
        <v>362.55070000000001</v>
      </c>
      <c r="AB33" s="9">
        <v>0.47599999999999998</v>
      </c>
      <c r="AC33" s="9">
        <v>1678</v>
      </c>
      <c r="AD33" s="9">
        <v>67.099999999999994</v>
      </c>
      <c r="AE33" s="9">
        <v>10</v>
      </c>
      <c r="AF33" s="9">
        <v>39</v>
      </c>
      <c r="AG33" s="9">
        <v>46.3</v>
      </c>
      <c r="AH33" s="9">
        <v>33.4</v>
      </c>
      <c r="AI33" s="9">
        <v>1.2</v>
      </c>
      <c r="AJ33" s="9">
        <v>1</v>
      </c>
      <c r="AK33" s="9">
        <v>320.7</v>
      </c>
      <c r="AL33" s="9">
        <v>217.6</v>
      </c>
      <c r="AM33" s="9">
        <v>0.81</v>
      </c>
      <c r="AN33" s="9">
        <v>0.85</v>
      </c>
      <c r="AO33" s="9">
        <v>12.97</v>
      </c>
      <c r="AP33" s="9">
        <v>5.7889999999999997</v>
      </c>
      <c r="AQ33" s="9">
        <v>4.9459999999999997</v>
      </c>
      <c r="AR33" s="9">
        <v>2.0870000000000002</v>
      </c>
      <c r="AS33" s="9">
        <v>25.034759782225741</v>
      </c>
      <c r="AT33" s="9">
        <v>3.5732967049628493E-2</v>
      </c>
      <c r="AU33" s="9">
        <v>123.36943367414374</v>
      </c>
      <c r="AV33" s="9">
        <v>19.610364515898944</v>
      </c>
      <c r="AW33" s="9">
        <v>45.712804362712532</v>
      </c>
      <c r="AX33" s="9">
        <v>33.001390076293944</v>
      </c>
      <c r="AY33" s="9">
        <v>23.987351511680238</v>
      </c>
      <c r="AZ33" s="9">
        <v>2.4985468200426658E-2</v>
      </c>
      <c r="BA33" s="9">
        <v>110.42660568556012</v>
      </c>
      <c r="BB33" s="9">
        <v>17.123527448733146</v>
      </c>
      <c r="BC33" s="9">
        <v>48.117705999901418</v>
      </c>
      <c r="BD33" s="9">
        <v>28.059416753293945</v>
      </c>
      <c r="BE33" s="9">
        <v>169.27366666666668</v>
      </c>
      <c r="BF33" s="9">
        <v>17.409533333333332</v>
      </c>
      <c r="BG33" s="9">
        <v>54.693766666666669</v>
      </c>
      <c r="BH33" s="9">
        <v>0.59973333333333334</v>
      </c>
      <c r="BI33" s="9">
        <v>291.25623333333334</v>
      </c>
      <c r="BJ33" s="9">
        <v>0.82</v>
      </c>
      <c r="BK33" s="9">
        <v>1310.3333333333333</v>
      </c>
      <c r="BL33" s="9">
        <v>90.6</v>
      </c>
      <c r="BM33" s="9">
        <v>13</v>
      </c>
      <c r="BN33" s="9">
        <v>49</v>
      </c>
      <c r="BO33" s="9">
        <v>36.6</v>
      </c>
      <c r="BP33" s="9">
        <v>41.8</v>
      </c>
      <c r="BQ33" s="9">
        <v>1.1000000000000001</v>
      </c>
      <c r="BR33" s="9">
        <v>1.1000000000000001</v>
      </c>
      <c r="BS33" s="9">
        <v>344.40992406449317</v>
      </c>
      <c r="BT33" s="9">
        <v>306.75466080814965</v>
      </c>
      <c r="BU33" s="9">
        <v>0.84</v>
      </c>
      <c r="BV33" s="9">
        <v>0.83</v>
      </c>
      <c r="BW33" s="9">
        <v>28.762</v>
      </c>
      <c r="BX33" s="9">
        <v>19.515000000000001</v>
      </c>
      <c r="BY33" s="9">
        <v>10.862</v>
      </c>
      <c r="BZ33" s="9">
        <v>5.851</v>
      </c>
      <c r="CA33" s="9">
        <v>25.034759782225741</v>
      </c>
      <c r="CB33" s="9">
        <v>3.5732967049628493E-2</v>
      </c>
      <c r="CC33" s="9">
        <v>123.36943367414374</v>
      </c>
      <c r="CD33" s="9">
        <v>19.610364515898944</v>
      </c>
      <c r="CE33" s="9">
        <v>45.712804362712532</v>
      </c>
      <c r="CF33" s="9">
        <v>33.752816753293942</v>
      </c>
      <c r="CG33" s="9">
        <v>23.987351511680238</v>
      </c>
      <c r="CH33" s="9">
        <v>2.4985468200426658E-2</v>
      </c>
      <c r="CI33" s="9">
        <v>210.42660568555999</v>
      </c>
      <c r="CJ33" s="9">
        <v>17.123527448733146</v>
      </c>
      <c r="CK33" s="9">
        <v>48.117705999901418</v>
      </c>
      <c r="CL33" s="9">
        <v>32.02456682958789</v>
      </c>
      <c r="CM33" s="9">
        <v>391.55950000000001</v>
      </c>
      <c r="CN33" s="9">
        <v>60.977800000000002</v>
      </c>
      <c r="CO33" s="9">
        <v>391.56740000000002</v>
      </c>
      <c r="CP33" s="9">
        <v>3.7169666666666665</v>
      </c>
      <c r="CQ33" s="9">
        <v>391.55950000000001</v>
      </c>
      <c r="CR33" s="9">
        <v>78.457999999999998</v>
      </c>
      <c r="CS33" s="9">
        <v>1798</v>
      </c>
      <c r="CT33" s="9">
        <v>30.5</v>
      </c>
      <c r="CU33" s="9">
        <v>1.2</v>
      </c>
      <c r="CV33" s="9">
        <v>362.63239169499872</v>
      </c>
      <c r="CW33" s="9">
        <v>0.82</v>
      </c>
      <c r="CX33" s="9">
        <v>32.972951645128539</v>
      </c>
      <c r="CY33" s="9">
        <v>0.62533159136753369</v>
      </c>
      <c r="CZ33" s="9">
        <v>313.84730407815869</v>
      </c>
      <c r="DA33" s="9">
        <v>18.601434687447181</v>
      </c>
      <c r="DB33" s="9">
        <v>3.1709537964598367</v>
      </c>
      <c r="DC33" s="9">
        <v>39.226497650146484</v>
      </c>
      <c r="DD33" s="9">
        <v>78</v>
      </c>
      <c r="DE33" s="9">
        <v>80</v>
      </c>
      <c r="DF33" s="9">
        <v>116</v>
      </c>
      <c r="DG33" s="9">
        <v>95</v>
      </c>
      <c r="DH33" s="9">
        <v>25</v>
      </c>
      <c r="DI33" s="9">
        <v>15</v>
      </c>
      <c r="DJ33" s="9">
        <v>67.12</v>
      </c>
      <c r="DK33" s="9">
        <v>35.06</v>
      </c>
      <c r="DL33" s="9">
        <v>16.55</v>
      </c>
      <c r="DM33" s="9">
        <v>16.489999999999998</v>
      </c>
      <c r="DN33" s="9">
        <f t="shared" si="0"/>
        <v>18.510000000000002</v>
      </c>
      <c r="DO33" s="9">
        <f t="shared" si="1"/>
        <v>0.47204791785510553</v>
      </c>
    </row>
    <row r="34" spans="1:119" x14ac:dyDescent="0.25">
      <c r="A34" s="12">
        <v>3</v>
      </c>
      <c r="B34" s="12">
        <v>11</v>
      </c>
      <c r="C34" s="14" t="s">
        <v>215</v>
      </c>
      <c r="D34" s="8" t="s">
        <v>222</v>
      </c>
      <c r="E34" s="8">
        <v>3</v>
      </c>
      <c r="F34" s="9">
        <v>43.6</v>
      </c>
      <c r="G34" s="9">
        <v>0</v>
      </c>
      <c r="H34" s="9">
        <v>3</v>
      </c>
      <c r="I34" s="9">
        <v>25.9</v>
      </c>
      <c r="J34" s="9">
        <v>0.5</v>
      </c>
      <c r="K34" s="9">
        <v>15.5</v>
      </c>
      <c r="L34" s="9">
        <v>0.2</v>
      </c>
      <c r="M34" s="9">
        <v>0.40300000000000002</v>
      </c>
      <c r="N34" s="9">
        <v>0.23</v>
      </c>
      <c r="O34" s="9">
        <v>0.121</v>
      </c>
      <c r="P34" s="9">
        <v>9.7000000000000003E-2</v>
      </c>
      <c r="Q34" s="9">
        <v>4.5799183204181801</v>
      </c>
      <c r="R34" s="9">
        <v>5.7234405587589091E-2</v>
      </c>
      <c r="S34" s="9">
        <v>204.09516064158549</v>
      </c>
      <c r="T34" s="9">
        <v>1.4118505604435296</v>
      </c>
      <c r="U34" s="9">
        <v>2.3576993274765834</v>
      </c>
      <c r="V34" s="9">
        <v>29.710050582885742</v>
      </c>
      <c r="W34" s="9">
        <v>313.00409999999999</v>
      </c>
      <c r="X34" s="9">
        <v>14.2621</v>
      </c>
      <c r="Y34" s="9">
        <v>44.805599999999998</v>
      </c>
      <c r="Z34" s="9">
        <v>0.3498</v>
      </c>
      <c r="AA34" s="9">
        <v>327.22609999999997</v>
      </c>
      <c r="AB34" s="9">
        <v>0.39200000000000002</v>
      </c>
      <c r="AC34" s="9">
        <v>2282</v>
      </c>
      <c r="AD34" s="9">
        <v>54.6</v>
      </c>
      <c r="AE34" s="9">
        <v>4</v>
      </c>
      <c r="AF34" s="9">
        <v>8</v>
      </c>
      <c r="AG34" s="9">
        <v>35</v>
      </c>
      <c r="AH34" s="9">
        <v>30.6</v>
      </c>
      <c r="AI34" s="9">
        <v>0.9</v>
      </c>
      <c r="AJ34" s="9">
        <v>0.9</v>
      </c>
      <c r="AK34" s="9">
        <v>310.7</v>
      </c>
      <c r="AL34" s="9">
        <v>227.5</v>
      </c>
      <c r="AM34" s="9">
        <v>0.85</v>
      </c>
      <c r="AN34" s="9">
        <v>0.85</v>
      </c>
      <c r="AO34" s="9">
        <v>4.7910000000000004</v>
      </c>
      <c r="AP34" s="9">
        <v>2.3140000000000001</v>
      </c>
      <c r="AQ34" s="9">
        <v>2.3410000000000002</v>
      </c>
      <c r="AR34" s="9">
        <v>1.0669999999999999</v>
      </c>
      <c r="AS34" s="9">
        <v>26.923063389441477</v>
      </c>
      <c r="AT34" s="9">
        <v>7.3622580125994735E-2</v>
      </c>
      <c r="AU34" s="9">
        <v>227.69409089372493</v>
      </c>
      <c r="AV34" s="9">
        <v>21.576150394765982</v>
      </c>
      <c r="AW34" s="9">
        <v>25.026072006421174</v>
      </c>
      <c r="AX34" s="9">
        <v>32.697690582885741</v>
      </c>
      <c r="AY34" s="9">
        <v>19.554297841083731</v>
      </c>
      <c r="AZ34" s="9">
        <v>6.4297228859986927E-2</v>
      </c>
      <c r="BA34" s="9">
        <v>246.31425149959733</v>
      </c>
      <c r="BB34" s="9">
        <v>17.866854984178957</v>
      </c>
      <c r="BC34" s="9">
        <v>23.203836390237857</v>
      </c>
      <c r="BD34" s="9">
        <v>27.755717259885742</v>
      </c>
      <c r="BE34" s="9">
        <f t="shared" ref="BE34:BK34" si="27">AVERAGE(BE32:BE33)</f>
        <v>219.43903333333333</v>
      </c>
      <c r="BF34" s="9">
        <f t="shared" si="27"/>
        <v>24.593216666666667</v>
      </c>
      <c r="BG34" s="9">
        <f t="shared" si="27"/>
        <v>77.261933333333332</v>
      </c>
      <c r="BH34" s="9">
        <f t="shared" si="27"/>
        <v>0.89136666666666664</v>
      </c>
      <c r="BI34" s="9">
        <f t="shared" si="27"/>
        <v>280.43031666666667</v>
      </c>
      <c r="BJ34" s="9">
        <f t="shared" si="27"/>
        <v>2.0013333333333332</v>
      </c>
      <c r="BK34" s="9">
        <f t="shared" si="27"/>
        <v>1107.3333333333333</v>
      </c>
      <c r="BL34" s="9">
        <v>95.2</v>
      </c>
      <c r="BM34" s="9">
        <v>13</v>
      </c>
      <c r="BN34" s="9">
        <v>46</v>
      </c>
      <c r="BO34" s="9">
        <v>36.4</v>
      </c>
      <c r="BP34" s="9">
        <v>45.5</v>
      </c>
      <c r="BQ34" s="9">
        <v>1.1000000000000001</v>
      </c>
      <c r="BR34" s="9">
        <v>1.1000000000000001</v>
      </c>
      <c r="BS34" s="9">
        <v>350.52586190798121</v>
      </c>
      <c r="BT34" s="9">
        <v>308.35884524217852</v>
      </c>
      <c r="BU34" s="9">
        <v>0.84</v>
      </c>
      <c r="BV34" s="9">
        <v>0.83</v>
      </c>
      <c r="BW34" s="9">
        <v>22.178999999999998</v>
      </c>
      <c r="BX34" s="9">
        <v>15.814</v>
      </c>
      <c r="BY34" s="9">
        <v>8.7620000000000005</v>
      </c>
      <c r="BZ34" s="9">
        <v>5.3979999999999997</v>
      </c>
      <c r="CA34" s="9">
        <v>26.923063389441477</v>
      </c>
      <c r="CB34" s="9">
        <v>7.3622580125994735E-2</v>
      </c>
      <c r="CC34" s="9">
        <v>227.69409089372493</v>
      </c>
      <c r="CD34" s="9">
        <v>21.576150394765982</v>
      </c>
      <c r="CE34" s="9">
        <v>25.026072006421174</v>
      </c>
      <c r="CF34" s="9">
        <v>33.449117259885739</v>
      </c>
      <c r="CG34" s="9">
        <v>19.554297841083731</v>
      </c>
      <c r="CH34" s="9">
        <v>6.4297228859986927E-2</v>
      </c>
      <c r="CI34" s="9">
        <v>246.31425149959733</v>
      </c>
      <c r="CJ34" s="9">
        <v>17.866854984178957</v>
      </c>
      <c r="CK34" s="9">
        <v>23.203836390237857</v>
      </c>
      <c r="CL34" s="9">
        <v>31.417167842771484</v>
      </c>
      <c r="CM34" s="9">
        <v>431.92039999999997</v>
      </c>
      <c r="CN34" s="9">
        <f>AVERAGE(CN32:CN33)</f>
        <v>75.694649999999996</v>
      </c>
      <c r="CO34" s="9">
        <v>464.42263333333335</v>
      </c>
      <c r="CP34" s="11">
        <f>AVERAGE(CP32:CP33)</f>
        <v>4.2599833333333335</v>
      </c>
      <c r="CQ34" s="9">
        <v>431.92039999999997</v>
      </c>
      <c r="CR34" s="9">
        <v>48.288666666666664</v>
      </c>
      <c r="CS34" s="9">
        <v>2946.3333333333335</v>
      </c>
      <c r="CT34" s="9">
        <v>31.1</v>
      </c>
      <c r="CU34" s="9">
        <v>1.2</v>
      </c>
      <c r="CV34" s="9">
        <v>374.57934509962337</v>
      </c>
      <c r="CW34" s="9">
        <v>0.82</v>
      </c>
      <c r="CX34" s="9">
        <v>33.064804423324112</v>
      </c>
      <c r="CY34" s="9">
        <v>0.62456245051570625</v>
      </c>
      <c r="CZ34" s="9">
        <v>313.45166345445455</v>
      </c>
      <c r="DA34" s="9">
        <v>18.593891119146232</v>
      </c>
      <c r="DB34" s="9">
        <v>3.1730371189845124</v>
      </c>
      <c r="DC34" s="9">
        <v>39.230781555175781</v>
      </c>
      <c r="DD34" s="9">
        <v>78</v>
      </c>
      <c r="DE34" s="9">
        <v>83</v>
      </c>
      <c r="DF34" s="9">
        <v>116</v>
      </c>
      <c r="DG34" s="9">
        <v>95.5</v>
      </c>
      <c r="DH34" s="9">
        <v>22</v>
      </c>
      <c r="DI34" s="9">
        <v>15</v>
      </c>
      <c r="DJ34" s="9">
        <v>66.98</v>
      </c>
      <c r="DK34" s="9">
        <v>34.11</v>
      </c>
      <c r="DL34" s="9">
        <v>16.7</v>
      </c>
      <c r="DM34" s="9">
        <v>16.12</v>
      </c>
      <c r="DN34" s="9">
        <f t="shared" ref="DN34:DN65" si="28">DK34-DL34</f>
        <v>17.41</v>
      </c>
      <c r="DO34" s="9">
        <f t="shared" ref="DO34:DO65" si="29">DL34/DK34</f>
        <v>0.48959249486953971</v>
      </c>
    </row>
    <row r="35" spans="1:119" x14ac:dyDescent="0.25">
      <c r="A35" s="12">
        <v>1</v>
      </c>
      <c r="B35" s="12">
        <v>12</v>
      </c>
      <c r="C35" s="14" t="s">
        <v>216</v>
      </c>
      <c r="D35" s="8" t="s">
        <v>222</v>
      </c>
      <c r="E35" s="8">
        <v>1</v>
      </c>
      <c r="F35" s="9">
        <v>37.5</v>
      </c>
      <c r="G35" s="9">
        <v>0</v>
      </c>
      <c r="H35" s="9">
        <v>3</v>
      </c>
      <c r="I35" s="9">
        <v>31.5</v>
      </c>
      <c r="J35" s="9">
        <v>0.6</v>
      </c>
      <c r="K35" s="9">
        <v>19.7</v>
      </c>
      <c r="L35" s="9">
        <v>0.15</v>
      </c>
      <c r="M35" s="9">
        <v>0.55000000000000004</v>
      </c>
      <c r="N35" s="9">
        <v>0.23</v>
      </c>
      <c r="O35" s="9">
        <v>0.187</v>
      </c>
      <c r="P35" s="9">
        <v>8.6999999999999994E-2</v>
      </c>
      <c r="Q35" s="9">
        <v>7.1393419606940478</v>
      </c>
      <c r="R35" s="9">
        <v>8.0553165848913227E-2</v>
      </c>
      <c r="S35" s="9">
        <v>189.4478022568463</v>
      </c>
      <c r="T35" s="9">
        <v>1.9542593787703753</v>
      </c>
      <c r="U35" s="9">
        <v>2.3299145906416552</v>
      </c>
      <c r="V35" s="9">
        <v>29.665559768676758</v>
      </c>
      <c r="W35" s="9">
        <v>407.7602</v>
      </c>
      <c r="X35" s="9">
        <v>15.8775</v>
      </c>
      <c r="Y35" s="9">
        <v>49.880499999999998</v>
      </c>
      <c r="Z35" s="9">
        <v>0.4153</v>
      </c>
      <c r="AA35" s="9">
        <v>382.2688</v>
      </c>
      <c r="AB35" s="9">
        <v>0.51800000000000002</v>
      </c>
      <c r="AC35" s="9">
        <v>2024</v>
      </c>
      <c r="AD35" s="9">
        <v>82.1</v>
      </c>
      <c r="AE35" s="9">
        <v>19</v>
      </c>
      <c r="AF35" s="9">
        <v>44</v>
      </c>
      <c r="AG35" s="9">
        <v>52.9</v>
      </c>
      <c r="AH35" s="9">
        <v>38</v>
      </c>
      <c r="AI35" s="9">
        <v>0.8</v>
      </c>
      <c r="AJ35" s="9">
        <v>0.8</v>
      </c>
      <c r="AK35" s="9">
        <v>248.1</v>
      </c>
      <c r="AL35" s="9">
        <v>245.6</v>
      </c>
      <c r="AM35" s="9">
        <v>0.85</v>
      </c>
      <c r="AN35" s="9">
        <v>0.83</v>
      </c>
      <c r="AO35" s="9">
        <v>22.417000000000002</v>
      </c>
      <c r="AP35" s="9">
        <v>10.984</v>
      </c>
      <c r="AQ35" s="9">
        <v>12.49</v>
      </c>
      <c r="AR35" s="9">
        <v>3.9809999999999999</v>
      </c>
      <c r="AS35" s="9">
        <v>23.562954337547371</v>
      </c>
      <c r="AT35" s="9">
        <v>6.0416011293566961E-2</v>
      </c>
      <c r="AU35" s="9">
        <v>204.8978525781159</v>
      </c>
      <c r="AV35" s="9">
        <v>19.300534698600799</v>
      </c>
      <c r="AW35" s="9">
        <v>30.193792618130146</v>
      </c>
      <c r="AX35" s="9">
        <v>32.653199768676757</v>
      </c>
      <c r="AY35" s="9">
        <v>19.774796654807883</v>
      </c>
      <c r="AZ35" s="9">
        <v>4.7758233816759019E-2</v>
      </c>
      <c r="BA35" s="9">
        <v>211.23234912553704</v>
      </c>
      <c r="BB35" s="9">
        <v>15.258592469854054</v>
      </c>
      <c r="BC35" s="9">
        <v>29.730593745340009</v>
      </c>
      <c r="BD35" s="9">
        <v>27.711226445676758</v>
      </c>
      <c r="BE35" s="9">
        <v>463.91339999999997</v>
      </c>
      <c r="BF35" s="9">
        <v>71.278733333333335</v>
      </c>
      <c r="BG35" s="9">
        <v>223.9288333333333</v>
      </c>
      <c r="BH35" s="9">
        <v>1.5237000000000001</v>
      </c>
      <c r="BI35" s="9">
        <v>463.91339999999997</v>
      </c>
      <c r="BJ35" s="9">
        <v>8.6196666666666673</v>
      </c>
      <c r="BK35" s="9">
        <v>1841.3333333333333</v>
      </c>
      <c r="BL35" s="9">
        <v>111.4</v>
      </c>
      <c r="BM35" s="9">
        <v>26</v>
      </c>
      <c r="BN35" s="9">
        <v>93</v>
      </c>
      <c r="BO35" s="9">
        <v>47</v>
      </c>
      <c r="BP35" s="9">
        <v>54.2</v>
      </c>
      <c r="BQ35" s="9">
        <v>0.9</v>
      </c>
      <c r="BR35" s="9">
        <v>0.9</v>
      </c>
      <c r="BS35" s="9">
        <v>364.13430914210937</v>
      </c>
      <c r="BT35" s="9">
        <v>352.04820989760907</v>
      </c>
      <c r="BU35" s="9">
        <v>0.85</v>
      </c>
      <c r="BV35" s="9">
        <v>0.83</v>
      </c>
      <c r="BW35" s="9">
        <v>47.593000000000004</v>
      </c>
      <c r="BX35" s="9">
        <v>25.713999999999999</v>
      </c>
      <c r="BY35" s="9">
        <v>15.752000000000001</v>
      </c>
      <c r="BZ35" s="9">
        <v>8.7650000000000006</v>
      </c>
      <c r="CA35" s="9">
        <v>23.562954337547371</v>
      </c>
      <c r="CB35" s="9">
        <v>6.0416011293566961E-2</v>
      </c>
      <c r="CC35" s="9">
        <v>204.8978525781159</v>
      </c>
      <c r="CD35" s="9">
        <v>19.300534698600799</v>
      </c>
      <c r="CE35" s="9">
        <v>30.193792618130146</v>
      </c>
      <c r="CF35" s="9">
        <v>33.404626445676755</v>
      </c>
      <c r="CG35" s="9">
        <v>19.774796654807883</v>
      </c>
      <c r="CH35" s="9">
        <v>4.7758233816759019E-2</v>
      </c>
      <c r="CI35" s="9">
        <v>211.23234912553704</v>
      </c>
      <c r="CJ35" s="9">
        <v>15.258592469854054</v>
      </c>
      <c r="CK35" s="9">
        <v>29.730593745340009</v>
      </c>
      <c r="CL35" s="9">
        <v>31.328186214353515</v>
      </c>
      <c r="CM35" s="9">
        <v>375.30160000000001</v>
      </c>
      <c r="CN35" s="9">
        <v>300.19459999999998</v>
      </c>
      <c r="CO35" s="9">
        <v>943.08929999999998</v>
      </c>
      <c r="CP35" s="9">
        <v>7.9988000000000001</v>
      </c>
      <c r="CQ35" s="9">
        <v>375.30160000000001</v>
      </c>
      <c r="CR35" s="9">
        <v>188.589</v>
      </c>
      <c r="CS35" s="9">
        <v>3209</v>
      </c>
      <c r="CT35" s="9">
        <v>37</v>
      </c>
      <c r="CU35" s="9">
        <v>1.4</v>
      </c>
      <c r="CV35" s="9">
        <v>341.33575671196724</v>
      </c>
      <c r="CW35" s="9">
        <v>0.81</v>
      </c>
      <c r="CX35" s="9">
        <v>20.868377499676271</v>
      </c>
      <c r="CY35" s="9">
        <v>0.30947222406258285</v>
      </c>
      <c r="CZ35" s="9">
        <v>296.51434133941865</v>
      </c>
      <c r="DA35" s="9">
        <v>12.391476339527147</v>
      </c>
      <c r="DB35" s="9">
        <v>3.9837692993272746</v>
      </c>
      <c r="DC35" s="9">
        <v>40.415298461914063</v>
      </c>
      <c r="DD35" s="9">
        <v>87</v>
      </c>
      <c r="DE35" s="9">
        <v>92</v>
      </c>
      <c r="DF35" s="9">
        <v>124</v>
      </c>
      <c r="DG35" s="9">
        <v>102</v>
      </c>
      <c r="DH35" s="9">
        <v>18</v>
      </c>
      <c r="DI35" s="9">
        <v>9</v>
      </c>
      <c r="DJ35" s="9">
        <v>60.97</v>
      </c>
      <c r="DK35" s="9">
        <v>37.65</v>
      </c>
      <c r="DL35" s="9">
        <v>12.75</v>
      </c>
      <c r="DM35" s="9">
        <v>13.55</v>
      </c>
      <c r="DN35" s="9">
        <f t="shared" si="28"/>
        <v>24.9</v>
      </c>
      <c r="DO35" s="9">
        <f t="shared" si="29"/>
        <v>0.33864541832669326</v>
      </c>
    </row>
    <row r="36" spans="1:119" x14ac:dyDescent="0.25">
      <c r="A36" s="12">
        <v>2</v>
      </c>
      <c r="B36" s="12">
        <v>12</v>
      </c>
      <c r="C36" s="14" t="s">
        <v>216</v>
      </c>
      <c r="D36" s="8" t="s">
        <v>222</v>
      </c>
      <c r="E36" s="8">
        <v>2</v>
      </c>
      <c r="F36" s="9">
        <v>39.6</v>
      </c>
      <c r="G36" s="9">
        <v>0</v>
      </c>
      <c r="H36" s="9">
        <v>3</v>
      </c>
      <c r="I36" s="9">
        <v>30.9</v>
      </c>
      <c r="J36" s="9">
        <v>0.7</v>
      </c>
      <c r="K36" s="9">
        <v>18.2</v>
      </c>
      <c r="L36" s="9">
        <v>0.1</v>
      </c>
      <c r="M36" s="9">
        <v>0.53999999999999992</v>
      </c>
      <c r="N36" s="9">
        <v>0.25</v>
      </c>
      <c r="O36" s="9">
        <v>0.19800000000000001</v>
      </c>
      <c r="P36" s="9">
        <v>9.8000000000000004E-2</v>
      </c>
      <c r="Q36" s="9">
        <v>7.6582920385689048</v>
      </c>
      <c r="R36" s="9">
        <v>7.8801253859167988E-2</v>
      </c>
      <c r="S36" s="9">
        <v>175.61703564955718</v>
      </c>
      <c r="T36" s="9">
        <v>1.9068730922850188</v>
      </c>
      <c r="U36" s="9">
        <v>2.3231105851086626</v>
      </c>
      <c r="V36" s="9">
        <v>29.649682998657227</v>
      </c>
      <c r="W36" s="9">
        <v>382.2688</v>
      </c>
      <c r="X36" s="9">
        <v>19.121200000000002</v>
      </c>
      <c r="Y36" s="9">
        <v>56.234400000000001</v>
      </c>
      <c r="Z36" s="9">
        <v>0.47810000000000002</v>
      </c>
      <c r="AA36" s="9">
        <v>399.96140000000003</v>
      </c>
      <c r="AB36" s="9">
        <v>0.54400000000000004</v>
      </c>
      <c r="AC36" s="9">
        <v>1967</v>
      </c>
      <c r="AD36" s="9">
        <v>80.5</v>
      </c>
      <c r="AE36" s="9">
        <v>17</v>
      </c>
      <c r="AF36" s="9">
        <v>46</v>
      </c>
      <c r="AG36" s="9">
        <v>56.8</v>
      </c>
      <c r="AH36" s="9">
        <v>39.799999999999997</v>
      </c>
      <c r="AI36" s="9">
        <v>0.8</v>
      </c>
      <c r="AJ36" s="9">
        <v>0.8</v>
      </c>
      <c r="AK36" s="9">
        <v>243.6</v>
      </c>
      <c r="AL36" s="9">
        <v>237.5</v>
      </c>
      <c r="AM36" s="9">
        <v>0.86</v>
      </c>
      <c r="AN36" s="9">
        <v>0.85</v>
      </c>
      <c r="AO36" s="9">
        <v>16.550999999999998</v>
      </c>
      <c r="AP36" s="9">
        <v>7.6509999999999998</v>
      </c>
      <c r="AQ36" s="9">
        <v>8.4830000000000005</v>
      </c>
      <c r="AR36" s="9">
        <v>2.0110000000000001</v>
      </c>
      <c r="AS36" s="9">
        <v>20.373288478348726</v>
      </c>
      <c r="AT36" s="9">
        <v>1.8136023797797222E-2</v>
      </c>
      <c r="AU36" s="9">
        <v>53.984534727690786</v>
      </c>
      <c r="AV36" s="9">
        <v>17.034914111716851</v>
      </c>
      <c r="AW36" s="9">
        <v>60.259195075297235</v>
      </c>
      <c r="AX36" s="9">
        <v>32.637322998657226</v>
      </c>
      <c r="AY36" s="9">
        <v>12.155072596002251</v>
      </c>
      <c r="AZ36" s="9">
        <v>4.4101522140917442E-2</v>
      </c>
      <c r="BA36" s="9">
        <v>250.31819321878248</v>
      </c>
      <c r="BB36" s="9">
        <v>12.769065103236136</v>
      </c>
      <c r="BC36" s="9">
        <v>24.043124861936988</v>
      </c>
      <c r="BD36" s="9">
        <v>27.695349675657226</v>
      </c>
      <c r="BE36" s="9">
        <v>323.62783333333329</v>
      </c>
      <c r="BF36" s="9">
        <v>32.416766666666668</v>
      </c>
      <c r="BG36" s="9">
        <v>101.84023333333334</v>
      </c>
      <c r="BH36" s="9">
        <v>1.0063333333333333</v>
      </c>
      <c r="BI36" s="9">
        <v>323.62783333333329</v>
      </c>
      <c r="BJ36" s="9">
        <v>2.561666666666667</v>
      </c>
      <c r="BK36" s="9">
        <v>1364</v>
      </c>
      <c r="BL36" s="9">
        <v>110.5</v>
      </c>
      <c r="BM36" s="9">
        <v>27</v>
      </c>
      <c r="BN36" s="9">
        <v>97</v>
      </c>
      <c r="BO36" s="9">
        <v>33</v>
      </c>
      <c r="BP36" s="9">
        <v>40.1</v>
      </c>
      <c r="BQ36" s="9">
        <v>0.9</v>
      </c>
      <c r="BR36" s="9">
        <v>0.9</v>
      </c>
      <c r="BS36" s="9">
        <v>380.49561523304453</v>
      </c>
      <c r="BT36" s="9">
        <v>342.87420669262445</v>
      </c>
      <c r="BU36" s="9">
        <v>0.85</v>
      </c>
      <c r="BV36" s="9">
        <v>0.85</v>
      </c>
      <c r="BW36" s="9">
        <v>51.662999999999997</v>
      </c>
      <c r="BX36" s="9">
        <v>29.843</v>
      </c>
      <c r="BY36" s="9">
        <v>16.934999999999999</v>
      </c>
      <c r="BZ36" s="9">
        <v>9.6519999999999992</v>
      </c>
      <c r="CA36" s="9">
        <v>20.373288478348726</v>
      </c>
      <c r="CB36" s="9">
        <v>1.8136023797797222E-2</v>
      </c>
      <c r="CC36" s="9">
        <v>53.984534727690786</v>
      </c>
      <c r="CD36" s="9">
        <v>17.034914111716851</v>
      </c>
      <c r="CE36" s="9">
        <v>60.259195075297235</v>
      </c>
      <c r="CF36" s="9">
        <v>33.388749675657223</v>
      </c>
      <c r="CG36" s="9">
        <v>12.155072596002251</v>
      </c>
      <c r="CH36" s="9">
        <v>4.4101522140917442E-2</v>
      </c>
      <c r="CI36" s="9">
        <v>250.31819321878248</v>
      </c>
      <c r="CJ36" s="9">
        <v>12.769065103236136</v>
      </c>
      <c r="CK36" s="9">
        <v>24.043124861936988</v>
      </c>
      <c r="CL36" s="9">
        <v>31.296432674314453</v>
      </c>
      <c r="CM36" s="9">
        <v>817.73080000000004</v>
      </c>
      <c r="CN36" s="9">
        <v>213.25620000000001</v>
      </c>
      <c r="CO36" s="9">
        <v>669.96410000000003</v>
      </c>
      <c r="CP36" s="9">
        <f ca="1">AVERAGE(CP35:CP36)</f>
        <v>5.30335</v>
      </c>
      <c r="CQ36" s="9">
        <v>817.73080000000004</v>
      </c>
      <c r="CR36" s="9">
        <v>143.68</v>
      </c>
      <c r="CS36" s="9">
        <v>3897</v>
      </c>
      <c r="CT36" s="9">
        <v>33</v>
      </c>
      <c r="CU36" s="9">
        <v>1.4</v>
      </c>
      <c r="CV36" s="9">
        <v>350.52586190798121</v>
      </c>
      <c r="CW36" s="9">
        <v>0.81</v>
      </c>
      <c r="CX36" s="9">
        <v>20.766303749604596</v>
      </c>
      <c r="CY36" s="9">
        <v>0.30936972133258672</v>
      </c>
      <c r="CZ36" s="9">
        <v>297.04856079972143</v>
      </c>
      <c r="DA36" s="9">
        <v>12.391573533786547</v>
      </c>
      <c r="DB36" s="9">
        <v>3.9850073530534571</v>
      </c>
      <c r="DC36" s="9">
        <v>40.417720794677734</v>
      </c>
      <c r="DD36" s="9">
        <v>87</v>
      </c>
      <c r="DE36" s="9">
        <v>92</v>
      </c>
      <c r="DF36" s="9">
        <v>124</v>
      </c>
      <c r="DG36" s="9">
        <v>105</v>
      </c>
      <c r="DH36" s="9">
        <v>14</v>
      </c>
      <c r="DI36" s="9">
        <v>12</v>
      </c>
      <c r="DJ36" s="9">
        <v>61.99</v>
      </c>
      <c r="DK36" s="9">
        <v>38.659999999999997</v>
      </c>
      <c r="DL36" s="9">
        <v>13.66</v>
      </c>
      <c r="DM36" s="9">
        <v>14.12</v>
      </c>
      <c r="DN36" s="9">
        <f t="shared" si="28"/>
        <v>24.999999999999996</v>
      </c>
      <c r="DO36" s="9">
        <f t="shared" si="29"/>
        <v>0.3533367822038283</v>
      </c>
    </row>
    <row r="37" spans="1:119" x14ac:dyDescent="0.25">
      <c r="A37" s="12">
        <v>3</v>
      </c>
      <c r="B37" s="12">
        <v>12</v>
      </c>
      <c r="C37" s="14" t="s">
        <v>216</v>
      </c>
      <c r="D37" s="8" t="s">
        <v>222</v>
      </c>
      <c r="E37" s="8">
        <v>3</v>
      </c>
      <c r="F37" s="9">
        <v>39.799999999999997</v>
      </c>
      <c r="G37" s="9">
        <v>0</v>
      </c>
      <c r="H37" s="9">
        <v>3</v>
      </c>
      <c r="I37" s="9">
        <v>31.8</v>
      </c>
      <c r="J37" s="9">
        <v>0.6</v>
      </c>
      <c r="K37" s="9">
        <v>17.399999999999999</v>
      </c>
      <c r="L37" s="9">
        <v>0.2</v>
      </c>
      <c r="M37" s="9">
        <v>0.51400000000000001</v>
      </c>
      <c r="N37" s="9">
        <v>0.25</v>
      </c>
      <c r="O37" s="9">
        <v>0.17799999999999999</v>
      </c>
      <c r="P37" s="9">
        <v>7.9000000000000001E-2</v>
      </c>
      <c r="Q37" s="9">
        <v>6.2147075511641354</v>
      </c>
      <c r="R37" s="9">
        <v>5.8207889347469503E-2</v>
      </c>
      <c r="S37" s="9">
        <v>161.64486238506223</v>
      </c>
      <c r="T37" s="9">
        <v>1.4363022584011267</v>
      </c>
      <c r="U37" s="9">
        <v>2.3588391357781227</v>
      </c>
      <c r="V37" s="9">
        <v>29.717767715454102</v>
      </c>
      <c r="W37" s="9">
        <v>399.96140000000003</v>
      </c>
      <c r="X37" s="9">
        <v>14.171900000000001</v>
      </c>
      <c r="Y37" s="9">
        <v>44.522300000000001</v>
      </c>
      <c r="Z37" s="9">
        <v>0.43309999999999998</v>
      </c>
      <c r="AA37" s="9">
        <v>407.7602</v>
      </c>
      <c r="AB37" s="9">
        <v>0.48199999999999998</v>
      </c>
      <c r="AC37" s="9">
        <v>1617</v>
      </c>
      <c r="AD37" s="9">
        <v>76.900000000000006</v>
      </c>
      <c r="AE37" s="9">
        <v>17</v>
      </c>
      <c r="AF37" s="9">
        <v>44</v>
      </c>
      <c r="AG37" s="9">
        <v>52</v>
      </c>
      <c r="AH37" s="9">
        <v>30.4</v>
      </c>
      <c r="AI37" s="9">
        <v>0.7</v>
      </c>
      <c r="AJ37" s="9">
        <v>0.7</v>
      </c>
      <c r="AK37" s="9">
        <v>270.5</v>
      </c>
      <c r="AL37" s="9">
        <v>211.3</v>
      </c>
      <c r="AM37" s="9">
        <v>0.85</v>
      </c>
      <c r="AN37" s="9">
        <v>0.84</v>
      </c>
      <c r="AO37" s="9">
        <v>23.79</v>
      </c>
      <c r="AP37" s="9">
        <v>10.872999999999999</v>
      </c>
      <c r="AQ37" s="9">
        <v>10.141</v>
      </c>
      <c r="AR37" s="9">
        <v>2.9870000000000001</v>
      </c>
      <c r="AS37" s="9">
        <v>21.064809085836174</v>
      </c>
      <c r="AT37" s="9">
        <v>5.8258738987769489E-2</v>
      </c>
      <c r="AU37" s="9">
        <v>241.87783398821284</v>
      </c>
      <c r="AV37" s="9">
        <v>16.661264293077988</v>
      </c>
      <c r="AW37" s="9">
        <v>23.812631549048405</v>
      </c>
      <c r="AX37" s="9">
        <v>32.705407715454101</v>
      </c>
      <c r="AY37" s="9">
        <v>15.573106528038647</v>
      </c>
      <c r="AZ37" s="9">
        <v>4.5793669932124748E-2</v>
      </c>
      <c r="BA37" s="9">
        <v>248.35329310851566</v>
      </c>
      <c r="BB37" s="9">
        <v>13.101970350667631</v>
      </c>
      <c r="BC37" s="9">
        <v>23.806851903959263</v>
      </c>
      <c r="BD37" s="9">
        <v>27.763434392454101</v>
      </c>
      <c r="BE37" s="9">
        <f t="shared" ref="BE37:BK37" si="30">AVERAGE(BE35:BE36)</f>
        <v>393.77061666666663</v>
      </c>
      <c r="BF37" s="9">
        <f t="shared" si="30"/>
        <v>51.847750000000005</v>
      </c>
      <c r="BG37" s="9">
        <f t="shared" si="30"/>
        <v>162.88453333333331</v>
      </c>
      <c r="BH37" s="9">
        <f t="shared" si="30"/>
        <v>1.2650166666666667</v>
      </c>
      <c r="BI37" s="9">
        <f t="shared" si="30"/>
        <v>393.77061666666663</v>
      </c>
      <c r="BJ37" s="9">
        <f t="shared" si="30"/>
        <v>5.5906666666666673</v>
      </c>
      <c r="BK37" s="9">
        <f t="shared" si="30"/>
        <v>1602.6666666666665</v>
      </c>
      <c r="BL37" s="9">
        <v>105.6</v>
      </c>
      <c r="BM37" s="9">
        <v>26</v>
      </c>
      <c r="BN37" s="9">
        <v>95</v>
      </c>
      <c r="BO37" s="9">
        <v>29.5</v>
      </c>
      <c r="BP37" s="9">
        <v>35</v>
      </c>
      <c r="BQ37" s="9">
        <v>0.9</v>
      </c>
      <c r="BR37" s="9">
        <v>0.9</v>
      </c>
      <c r="BS37" s="9">
        <v>370.11739176845447</v>
      </c>
      <c r="BT37" s="9">
        <v>349.00087837415651</v>
      </c>
      <c r="BU37" s="9">
        <v>0.85</v>
      </c>
      <c r="BV37" s="9">
        <v>0.84</v>
      </c>
      <c r="BW37" s="9">
        <v>48.960999999999999</v>
      </c>
      <c r="BX37" s="9">
        <v>25.611999999999998</v>
      </c>
      <c r="BY37" s="9">
        <v>12.984999999999999</v>
      </c>
      <c r="BZ37" s="9">
        <v>9.6419999999999995</v>
      </c>
      <c r="CA37" s="9">
        <v>21.064809085836174</v>
      </c>
      <c r="CB37" s="9">
        <v>5.8258738987769489E-2</v>
      </c>
      <c r="CC37" s="9">
        <v>241.87783398821284</v>
      </c>
      <c r="CD37" s="9">
        <v>16.661264293077988</v>
      </c>
      <c r="CE37" s="9">
        <v>23.812631549048405</v>
      </c>
      <c r="CF37" s="9">
        <v>33.456834392454098</v>
      </c>
      <c r="CG37" s="9">
        <v>15.573106528038647</v>
      </c>
      <c r="CH37" s="9">
        <v>4.5793669932124748E-2</v>
      </c>
      <c r="CI37" s="9">
        <v>248.35329310851566</v>
      </c>
      <c r="CJ37" s="9">
        <v>13.101970350667631</v>
      </c>
      <c r="CK37" s="9">
        <v>23.806851903959263</v>
      </c>
      <c r="CL37" s="9">
        <v>31.432602107908203</v>
      </c>
      <c r="CM37" s="9">
        <f>AVERAGE(CM35:CM36)</f>
        <v>596.51620000000003</v>
      </c>
      <c r="CN37" s="9">
        <v>169.1885</v>
      </c>
      <c r="CO37" s="9">
        <v>531.52149999999995</v>
      </c>
      <c r="CP37" s="11">
        <f ca="1">AVERAGE(CP35:CP36)</f>
        <v>0</v>
      </c>
      <c r="CQ37" s="9">
        <f t="shared" ref="CQ37:CR37" si="31">AVERAGE(CQ35:CQ36)</f>
        <v>596.51620000000003</v>
      </c>
      <c r="CR37" s="9">
        <f t="shared" si="31"/>
        <v>166.1345</v>
      </c>
      <c r="CS37" s="9">
        <v>1081</v>
      </c>
      <c r="CT37" s="9">
        <v>27</v>
      </c>
      <c r="CU37" s="9">
        <v>1.4</v>
      </c>
      <c r="CV37" s="9">
        <v>356.59962632674217</v>
      </c>
      <c r="CW37" s="9">
        <v>0.81</v>
      </c>
      <c r="CX37" s="9">
        <v>20.558017644197889</v>
      </c>
      <c r="CY37" s="9">
        <v>0.30946174718245029</v>
      </c>
      <c r="CZ37" s="9">
        <v>298.23742068838885</v>
      </c>
      <c r="DA37" s="9">
        <v>12.396336069958378</v>
      </c>
      <c r="DB37" s="9">
        <v>3.9854267887769721</v>
      </c>
      <c r="DC37" s="9">
        <v>40.418479919433594</v>
      </c>
      <c r="DD37" s="9">
        <v>87</v>
      </c>
      <c r="DE37" s="9">
        <v>92</v>
      </c>
      <c r="DF37" s="9">
        <v>124</v>
      </c>
      <c r="DG37" s="9">
        <v>112</v>
      </c>
      <c r="DH37" s="9">
        <v>16</v>
      </c>
      <c r="DI37" s="9">
        <v>11</v>
      </c>
      <c r="DJ37" s="9">
        <v>61.95</v>
      </c>
      <c r="DK37" s="9">
        <v>38.950000000000003</v>
      </c>
      <c r="DL37" s="9">
        <v>13.97</v>
      </c>
      <c r="DM37" s="9">
        <v>14.87</v>
      </c>
      <c r="DN37" s="9">
        <f t="shared" si="28"/>
        <v>24.980000000000004</v>
      </c>
      <c r="DO37" s="9">
        <f t="shared" si="29"/>
        <v>0.35866495507060331</v>
      </c>
    </row>
    <row r="38" spans="1:119" x14ac:dyDescent="0.25">
      <c r="A38" s="12">
        <v>1</v>
      </c>
      <c r="B38" s="12">
        <v>13</v>
      </c>
      <c r="C38" s="14" t="s">
        <v>217</v>
      </c>
      <c r="D38" s="8" t="s">
        <v>222</v>
      </c>
      <c r="E38" s="8">
        <v>1</v>
      </c>
      <c r="F38" s="9">
        <v>47.8</v>
      </c>
      <c r="G38" s="9">
        <v>0</v>
      </c>
      <c r="H38" s="9">
        <v>3</v>
      </c>
      <c r="I38" s="9">
        <v>28.7</v>
      </c>
      <c r="J38" s="9">
        <v>0.7</v>
      </c>
      <c r="K38" s="9">
        <v>16.5</v>
      </c>
      <c r="L38" s="9">
        <v>0.1</v>
      </c>
      <c r="M38" s="9">
        <v>0.379</v>
      </c>
      <c r="N38" s="9">
        <v>0.215</v>
      </c>
      <c r="O38" s="9">
        <v>0.125</v>
      </c>
      <c r="P38" s="9">
        <v>7.8E-2</v>
      </c>
      <c r="Q38" s="9">
        <v>8.1613833611233932</v>
      </c>
      <c r="R38" s="9">
        <v>5.6874110763450135E-2</v>
      </c>
      <c r="S38" s="9">
        <v>121.53313804416729</v>
      </c>
      <c r="T38" s="9">
        <v>1.2964071128662624</v>
      </c>
      <c r="U38" s="9">
        <v>2.1855387810564935</v>
      </c>
      <c r="V38" s="9">
        <v>27.981189727783203</v>
      </c>
      <c r="W38" s="9">
        <v>327.22609999999997</v>
      </c>
      <c r="X38" s="9">
        <v>16.443899999999999</v>
      </c>
      <c r="Y38" s="9">
        <v>51.660200000000003</v>
      </c>
      <c r="Z38" s="9">
        <v>0.47270000000000001</v>
      </c>
      <c r="AA38" s="9">
        <v>347.8707</v>
      </c>
      <c r="AB38" s="9">
        <v>0.61</v>
      </c>
      <c r="AC38" s="9">
        <v>1480</v>
      </c>
      <c r="AD38" s="9">
        <v>45</v>
      </c>
      <c r="AE38" s="9">
        <v>9</v>
      </c>
      <c r="AF38" s="9">
        <v>30</v>
      </c>
      <c r="AG38" s="9">
        <v>30.8</v>
      </c>
      <c r="AH38" s="9">
        <v>25</v>
      </c>
      <c r="AI38" s="9">
        <v>0.9</v>
      </c>
      <c r="AJ38" s="9">
        <v>0.9</v>
      </c>
      <c r="AK38" s="9">
        <v>414</v>
      </c>
      <c r="AL38" s="9">
        <v>360.1</v>
      </c>
      <c r="AM38" s="9">
        <v>0.85</v>
      </c>
      <c r="AN38" s="9">
        <v>0.83</v>
      </c>
      <c r="AO38" s="9">
        <v>9.4610000000000003</v>
      </c>
      <c r="AP38" s="9">
        <v>3.6520000000000001</v>
      </c>
      <c r="AQ38" s="9">
        <v>8.673</v>
      </c>
      <c r="AR38" s="9">
        <v>2.512</v>
      </c>
      <c r="AS38" s="9">
        <v>24.009917194206636</v>
      </c>
      <c r="AT38" s="9">
        <v>4.4941963643446325E-2</v>
      </c>
      <c r="AU38" s="9">
        <v>138.48969058933938</v>
      </c>
      <c r="AV38" s="9">
        <v>21.190041230613531</v>
      </c>
      <c r="AW38" s="9">
        <v>43.324877265948189</v>
      </c>
      <c r="AX38" s="9">
        <v>30.968829727783202</v>
      </c>
      <c r="AY38" s="9">
        <v>25.276446847368724</v>
      </c>
      <c r="AZ38" s="9">
        <v>3.8877401808268555E-2</v>
      </c>
      <c r="BA38" s="9">
        <v>125.08890444656322</v>
      </c>
      <c r="BB38" s="9">
        <v>21.816725214456472</v>
      </c>
      <c r="BC38" s="9">
        <v>45.471722753297556</v>
      </c>
      <c r="BD38" s="9">
        <v>26.026856404783203</v>
      </c>
      <c r="BE38" s="9">
        <v>321.03093333333328</v>
      </c>
      <c r="BF38" s="9">
        <v>35.363866666666667</v>
      </c>
      <c r="BG38" s="9">
        <v>111.09883333333333</v>
      </c>
      <c r="BH38" s="9">
        <v>1.0684333333333333</v>
      </c>
      <c r="BI38" s="9">
        <v>321.03093333333328</v>
      </c>
      <c r="BJ38" s="9">
        <v>3.1379999999999999</v>
      </c>
      <c r="BK38" s="9">
        <v>1609</v>
      </c>
      <c r="BL38" s="9">
        <v>81.3</v>
      </c>
      <c r="BM38" s="9">
        <v>14</v>
      </c>
      <c r="BN38" s="9">
        <v>62</v>
      </c>
      <c r="BO38" s="9">
        <v>21.6</v>
      </c>
      <c r="BP38" s="9">
        <v>25.5</v>
      </c>
      <c r="BQ38" s="9">
        <v>0.9</v>
      </c>
      <c r="BR38" s="9">
        <v>0.9</v>
      </c>
      <c r="BS38" s="9">
        <v>336.70380810358051</v>
      </c>
      <c r="BT38" s="9">
        <v>303.53644511018535</v>
      </c>
      <c r="BU38" s="9">
        <v>0.85</v>
      </c>
      <c r="BV38" s="9">
        <v>0.83</v>
      </c>
      <c r="BW38" s="9">
        <v>54.612000000000002</v>
      </c>
      <c r="BX38" s="9">
        <v>29.815999999999999</v>
      </c>
      <c r="BY38" s="9">
        <v>15.964</v>
      </c>
      <c r="BZ38" s="9">
        <v>10.542</v>
      </c>
      <c r="CA38" s="9">
        <v>25.855283095498397</v>
      </c>
      <c r="CB38" s="9">
        <v>4.0576295411335304E-2</v>
      </c>
      <c r="CC38" s="9">
        <v>134.25269413179595</v>
      </c>
      <c r="CD38" s="9">
        <v>22.510257352560807</v>
      </c>
      <c r="CE38" s="9">
        <v>43.424338535144081</v>
      </c>
      <c r="CF38" s="9">
        <v>31.720256404783207</v>
      </c>
      <c r="CG38" s="9">
        <v>24.009917194206636</v>
      </c>
      <c r="CH38" s="9">
        <v>4.4941963643446325E-2</v>
      </c>
      <c r="CI38" s="9">
        <v>138.48969058933938</v>
      </c>
      <c r="CJ38" s="9">
        <v>21.190041230613531</v>
      </c>
      <c r="CK38" s="9">
        <v>43.324877265948189</v>
      </c>
      <c r="CL38" s="9">
        <v>27.959446132566406</v>
      </c>
      <c r="CM38" s="9">
        <f>AVERAGE(CM39:CM40)</f>
        <v>1079.42695</v>
      </c>
      <c r="CN38" s="9">
        <v>214.3612</v>
      </c>
      <c r="CO38" s="9">
        <v>673.4357</v>
      </c>
      <c r="CP38" s="9">
        <v>1.5742</v>
      </c>
      <c r="CQ38" s="9">
        <f>AVERAGE(CQ39:CQ40)</f>
        <v>1079.42695</v>
      </c>
      <c r="CR38" s="9">
        <v>77.010000000000005</v>
      </c>
      <c r="CS38" s="9">
        <v>4663</v>
      </c>
      <c r="CT38" s="9">
        <v>16.100000000000001</v>
      </c>
      <c r="CU38" s="9">
        <v>1</v>
      </c>
      <c r="CV38" s="9">
        <v>452.98510665237518</v>
      </c>
      <c r="CW38" s="9">
        <v>0.82</v>
      </c>
      <c r="CX38" s="9">
        <v>25.605242409875185</v>
      </c>
      <c r="CY38" s="9">
        <v>0.71453633845948206</v>
      </c>
      <c r="CZ38" s="9">
        <v>344.54985098522542</v>
      </c>
      <c r="DA38" s="9">
        <v>20.019568958740422</v>
      </c>
      <c r="DB38" s="9">
        <v>3.0419534270018866</v>
      </c>
      <c r="DC38" s="9">
        <v>39.084537506103516</v>
      </c>
      <c r="DD38" s="9">
        <v>83</v>
      </c>
      <c r="DE38" s="9">
        <v>88</v>
      </c>
      <c r="DF38" s="9">
        <v>118</v>
      </c>
      <c r="DG38" s="9">
        <v>63.5</v>
      </c>
      <c r="DH38" s="9">
        <v>16</v>
      </c>
      <c r="DI38" s="9">
        <v>9</v>
      </c>
      <c r="DJ38" s="9">
        <v>64.02</v>
      </c>
      <c r="DK38" s="9">
        <v>39.47</v>
      </c>
      <c r="DL38" s="9">
        <v>18.989999999999998</v>
      </c>
      <c r="DM38" s="9">
        <v>17.329999999999998</v>
      </c>
      <c r="DN38" s="9">
        <f t="shared" si="28"/>
        <v>20.48</v>
      </c>
      <c r="DO38" s="9">
        <f t="shared" si="29"/>
        <v>0.48112490499113247</v>
      </c>
    </row>
    <row r="39" spans="1:119" x14ac:dyDescent="0.25">
      <c r="A39" s="12">
        <v>2</v>
      </c>
      <c r="B39" s="12">
        <v>13</v>
      </c>
      <c r="C39" s="14" t="s">
        <v>217</v>
      </c>
      <c r="D39" s="8" t="s">
        <v>222</v>
      </c>
      <c r="E39" s="8">
        <v>2</v>
      </c>
      <c r="F39" s="9">
        <v>48.5</v>
      </c>
      <c r="G39" s="9">
        <v>0</v>
      </c>
      <c r="H39" s="9">
        <v>3</v>
      </c>
      <c r="I39" s="9">
        <v>29.1</v>
      </c>
      <c r="J39" s="9">
        <v>0.5</v>
      </c>
      <c r="K39" s="9">
        <v>17.899999999999999</v>
      </c>
      <c r="L39" s="9">
        <v>0.12</v>
      </c>
      <c r="M39" s="9">
        <v>0.36799999999999999</v>
      </c>
      <c r="N39" s="9">
        <v>0.19500000000000001</v>
      </c>
      <c r="O39" s="9">
        <v>0.11899999999999999</v>
      </c>
      <c r="P39" s="9">
        <v>7.5999999999999998E-2</v>
      </c>
      <c r="Q39" s="9">
        <v>8.4087695252303654</v>
      </c>
      <c r="R39" s="9">
        <v>5.7396590904683735E-2</v>
      </c>
      <c r="S39" s="9">
        <v>116.72528731314335</v>
      </c>
      <c r="T39" s="9">
        <v>1.3081753662401172</v>
      </c>
      <c r="U39" s="9">
        <v>2.1855331996331202</v>
      </c>
      <c r="V39" s="9">
        <v>27.980722427368164</v>
      </c>
      <c r="W39" s="9">
        <v>347.8707</v>
      </c>
      <c r="X39" s="9">
        <v>15.553900000000001</v>
      </c>
      <c r="Y39" s="9">
        <v>51.546300000000002</v>
      </c>
      <c r="Z39" s="9">
        <v>0.3639</v>
      </c>
      <c r="AA39" s="9">
        <v>314.79480000000001</v>
      </c>
      <c r="AB39" s="9">
        <v>0.54500000000000004</v>
      </c>
      <c r="AC39" s="9">
        <v>1417</v>
      </c>
      <c r="AD39" s="9">
        <v>41.8</v>
      </c>
      <c r="AE39" s="9">
        <v>9</v>
      </c>
      <c r="AF39" s="9">
        <v>29</v>
      </c>
      <c r="AG39" s="9">
        <v>25.5</v>
      </c>
      <c r="AH39" s="9">
        <v>22</v>
      </c>
      <c r="AI39" s="9">
        <v>0.9</v>
      </c>
      <c r="AJ39" s="9">
        <v>0.8</v>
      </c>
      <c r="AK39" s="9">
        <v>396.7</v>
      </c>
      <c r="AL39" s="9">
        <v>390.7</v>
      </c>
      <c r="AM39" s="9">
        <v>0.83</v>
      </c>
      <c r="AN39" s="9">
        <v>0.81</v>
      </c>
      <c r="AO39" s="9">
        <v>11.981</v>
      </c>
      <c r="AP39" s="9">
        <v>5.1289999999999996</v>
      </c>
      <c r="AQ39" s="9">
        <v>10.131</v>
      </c>
      <c r="AR39" s="9">
        <v>3.0950000000000002</v>
      </c>
      <c r="AS39" s="9">
        <v>23.85081971787087</v>
      </c>
      <c r="AT39" s="9">
        <v>3.9277071288617342E-2</v>
      </c>
      <c r="AU39" s="9">
        <v>148.6594239509113</v>
      </c>
      <c r="AV39" s="9">
        <v>20.147412311185271</v>
      </c>
      <c r="AW39" s="9">
        <v>40.976187538085348</v>
      </c>
      <c r="AX39" s="9">
        <v>30.968362427368163</v>
      </c>
      <c r="AY39" s="9">
        <v>14.381759928255358</v>
      </c>
      <c r="AZ39" s="9">
        <v>3.5061795989626145E-2</v>
      </c>
      <c r="BA39" s="9">
        <v>185.22246865001156</v>
      </c>
      <c r="BB39" s="9">
        <v>12.959011378872177</v>
      </c>
      <c r="BC39" s="9">
        <v>35.921478993475787</v>
      </c>
      <c r="BD39" s="9">
        <v>26.026389104368164</v>
      </c>
      <c r="BE39" s="9">
        <v>225.19343333333336</v>
      </c>
      <c r="BF39" s="9">
        <v>29.974999999999998</v>
      </c>
      <c r="BG39" s="9">
        <v>94.169233333333338</v>
      </c>
      <c r="BH39" s="9">
        <v>1.3444</v>
      </c>
      <c r="BI39" s="9">
        <v>225.19343333333336</v>
      </c>
      <c r="BJ39" s="9">
        <v>3.1483333333333334</v>
      </c>
      <c r="BK39" s="9">
        <v>845.33333333333337</v>
      </c>
      <c r="BL39" s="9">
        <v>81.5</v>
      </c>
      <c r="BM39" s="9">
        <v>11</v>
      </c>
      <c r="BN39" s="9">
        <v>42</v>
      </c>
      <c r="BO39" s="9">
        <v>25.8</v>
      </c>
      <c r="BP39" s="9">
        <v>25</v>
      </c>
      <c r="BQ39" s="9">
        <v>0.9</v>
      </c>
      <c r="BR39" s="9">
        <v>0.9</v>
      </c>
      <c r="BS39" s="9">
        <v>341.33575671196724</v>
      </c>
      <c r="BT39" s="9">
        <v>293.80097377795926</v>
      </c>
      <c r="BU39" s="9">
        <v>0.83</v>
      </c>
      <c r="BV39" s="9">
        <v>0.81</v>
      </c>
      <c r="BW39" s="9">
        <v>50.131999999999998</v>
      </c>
      <c r="BX39" s="9">
        <v>30.962</v>
      </c>
      <c r="BY39" s="9">
        <v>17.538</v>
      </c>
      <c r="BZ39" s="9">
        <v>11.512</v>
      </c>
      <c r="CA39" s="9">
        <v>24.697610599239056</v>
      </c>
      <c r="CB39" s="9">
        <v>3.7178508205201799E-2</v>
      </c>
      <c r="CC39" s="9">
        <v>115.92511476133049</v>
      </c>
      <c r="CD39" s="9">
        <v>21.123193076352134</v>
      </c>
      <c r="CE39" s="9">
        <v>47.519106971451045</v>
      </c>
      <c r="CF39" s="9">
        <v>31.719789104368168</v>
      </c>
      <c r="CG39" s="9">
        <v>23.85081971787087</v>
      </c>
      <c r="CH39" s="9">
        <v>3.9277071288617342E-2</v>
      </c>
      <c r="CI39" s="9">
        <v>148.6594239509113</v>
      </c>
      <c r="CJ39" s="9">
        <v>20.147412311185271</v>
      </c>
      <c r="CK39" s="9">
        <v>40.976187538085348</v>
      </c>
      <c r="CL39" s="9">
        <v>27.958511531736328</v>
      </c>
      <c r="CM39" s="9">
        <v>1235.4348</v>
      </c>
      <c r="CN39" s="9">
        <v>193.32220000000001</v>
      </c>
      <c r="CO39" s="9">
        <v>607.33969999999999</v>
      </c>
      <c r="CP39" s="9">
        <v>1.5648</v>
      </c>
      <c r="CQ39" s="9">
        <v>1235.4348</v>
      </c>
      <c r="CR39" s="9">
        <v>23.759</v>
      </c>
      <c r="CS39" s="9">
        <v>6837</v>
      </c>
      <c r="CT39" s="9">
        <v>16</v>
      </c>
      <c r="CU39" s="9">
        <v>1</v>
      </c>
      <c r="CV39" s="9">
        <v>450.23517831401125</v>
      </c>
      <c r="CW39" s="9">
        <v>0.82</v>
      </c>
      <c r="CX39" s="9">
        <v>25.685206686730606</v>
      </c>
      <c r="CY39" s="9">
        <v>0.71288969938460989</v>
      </c>
      <c r="CZ39" s="9">
        <v>344.18778122858578</v>
      </c>
      <c r="DA39" s="9">
        <v>20.002820164267717</v>
      </c>
      <c r="DB39" s="9">
        <v>3.0453688240522592</v>
      </c>
      <c r="DC39" s="9">
        <v>39.091114044189453</v>
      </c>
      <c r="DD39" s="9">
        <v>83</v>
      </c>
      <c r="DE39" s="9">
        <v>88</v>
      </c>
      <c r="DF39" s="9">
        <v>118</v>
      </c>
      <c r="DG39" s="9">
        <v>62</v>
      </c>
      <c r="DH39" s="9">
        <v>14</v>
      </c>
      <c r="DI39" s="9">
        <v>9</v>
      </c>
      <c r="DJ39" s="9">
        <v>63.05</v>
      </c>
      <c r="DK39" s="9">
        <v>39.04</v>
      </c>
      <c r="DL39" s="9">
        <v>18.23</v>
      </c>
      <c r="DM39" s="9">
        <v>17.98</v>
      </c>
      <c r="DN39" s="9">
        <f t="shared" si="28"/>
        <v>20.81</v>
      </c>
      <c r="DO39" s="9">
        <f t="shared" si="29"/>
        <v>0.46695696721311475</v>
      </c>
    </row>
    <row r="40" spans="1:119" x14ac:dyDescent="0.25">
      <c r="A40" s="12">
        <v>3</v>
      </c>
      <c r="B40" s="12">
        <v>13</v>
      </c>
      <c r="C40" s="14" t="s">
        <v>217</v>
      </c>
      <c r="D40" s="8" t="s">
        <v>222</v>
      </c>
      <c r="E40" s="8">
        <v>3</v>
      </c>
      <c r="F40" s="9">
        <v>48.3</v>
      </c>
      <c r="G40" s="9">
        <v>0</v>
      </c>
      <c r="H40" s="9">
        <v>3</v>
      </c>
      <c r="I40" s="9">
        <v>28.5</v>
      </c>
      <c r="J40" s="9">
        <v>0.55000000000000004</v>
      </c>
      <c r="K40" s="9">
        <v>16.3</v>
      </c>
      <c r="L40" s="9">
        <v>0.2</v>
      </c>
      <c r="M40" s="9">
        <v>0.372</v>
      </c>
      <c r="N40" s="9">
        <v>0.187</v>
      </c>
      <c r="O40" s="9">
        <v>0.121</v>
      </c>
      <c r="P40" s="9">
        <v>6.2E-2</v>
      </c>
      <c r="Q40" s="9">
        <v>8.0139093876068479</v>
      </c>
      <c r="R40" s="9">
        <v>5.8744264429564812E-2</v>
      </c>
      <c r="S40" s="9">
        <v>132.7605427441263</v>
      </c>
      <c r="T40" s="9">
        <v>1.3385270680194372</v>
      </c>
      <c r="U40" s="9">
        <v>2.1855239543143936</v>
      </c>
      <c r="V40" s="9">
        <v>27.980634689331055</v>
      </c>
      <c r="W40" s="9">
        <v>352.4907</v>
      </c>
      <c r="X40" s="9">
        <f>AVERAGE(X38:X39)</f>
        <v>15.998899999999999</v>
      </c>
      <c r="Y40" s="9">
        <v>52.009799999999998</v>
      </c>
      <c r="Z40" s="9">
        <v>0.33160000000000001</v>
      </c>
      <c r="AA40" s="9">
        <v>352.4907</v>
      </c>
      <c r="AB40" s="9">
        <v>0.48599999999999999</v>
      </c>
      <c r="AC40" s="9">
        <v>1681</v>
      </c>
      <c r="AD40" s="9">
        <v>39.5</v>
      </c>
      <c r="AE40" s="9">
        <v>11</v>
      </c>
      <c r="AF40" s="9">
        <v>35</v>
      </c>
      <c r="AG40" s="9">
        <v>26.2</v>
      </c>
      <c r="AH40" s="9">
        <v>23.9</v>
      </c>
      <c r="AI40" s="9">
        <v>0.9</v>
      </c>
      <c r="AJ40" s="9">
        <v>0.9</v>
      </c>
      <c r="AK40" s="9">
        <v>420.7</v>
      </c>
      <c r="AL40" s="9">
        <v>356.5</v>
      </c>
      <c r="AM40" s="9">
        <v>0.83</v>
      </c>
      <c r="AN40" s="9">
        <v>0.83</v>
      </c>
      <c r="AO40" s="9">
        <v>13.67</v>
      </c>
      <c r="AP40" s="9">
        <v>5.6120000000000001</v>
      </c>
      <c r="AQ40" s="9">
        <v>7.032</v>
      </c>
      <c r="AR40" s="9">
        <v>1.992</v>
      </c>
      <c r="AS40" s="9">
        <v>23.27373636983112</v>
      </c>
      <c r="AT40" s="9">
        <v>7.7939910408265228E-2</v>
      </c>
      <c r="AU40" s="9">
        <v>252.4290171934378</v>
      </c>
      <c r="AV40" s="9">
        <v>20.040992666472768</v>
      </c>
      <c r="AW40" s="9">
        <v>21.746568350499889</v>
      </c>
      <c r="AX40" s="9">
        <v>30.968274689331054</v>
      </c>
      <c r="AY40" s="9">
        <v>17.057853441320866</v>
      </c>
      <c r="AZ40" s="9">
        <v>2.3678471348287922E-2</v>
      </c>
      <c r="BA40" s="9">
        <v>105.0577011807914</v>
      </c>
      <c r="BB40" s="9">
        <v>14.397795033740636</v>
      </c>
      <c r="BC40" s="9">
        <v>50.708333034837615</v>
      </c>
      <c r="BD40" s="9">
        <v>26.026301366331055</v>
      </c>
      <c r="BE40" s="9">
        <f t="shared" ref="BE40:BK40" si="32">AVERAGE(BE38:BE39)</f>
        <v>273.11218333333329</v>
      </c>
      <c r="BF40" s="9">
        <f t="shared" si="32"/>
        <v>32.66943333333333</v>
      </c>
      <c r="BG40" s="9">
        <f t="shared" si="32"/>
        <v>102.63403333333333</v>
      </c>
      <c r="BH40" s="9">
        <f t="shared" si="32"/>
        <v>1.2064166666666667</v>
      </c>
      <c r="BI40" s="9">
        <f t="shared" si="32"/>
        <v>273.11218333333329</v>
      </c>
      <c r="BJ40" s="9">
        <f t="shared" si="32"/>
        <v>3.1431666666666667</v>
      </c>
      <c r="BK40" s="9">
        <f t="shared" si="32"/>
        <v>1227.1666666666667</v>
      </c>
      <c r="BL40" s="9">
        <v>82.3</v>
      </c>
      <c r="BM40" s="9">
        <v>11</v>
      </c>
      <c r="BN40" s="9">
        <v>43</v>
      </c>
      <c r="BO40" s="9">
        <v>22</v>
      </c>
      <c r="BP40" s="9">
        <v>29.6</v>
      </c>
      <c r="BQ40" s="9">
        <v>0.9</v>
      </c>
      <c r="BR40" s="9">
        <v>0.9</v>
      </c>
      <c r="BS40" s="9">
        <v>345.94292873858831</v>
      </c>
      <c r="BT40" s="9">
        <v>292.1662979157914</v>
      </c>
      <c r="BU40" s="9">
        <v>0.83</v>
      </c>
      <c r="BV40" s="9">
        <v>0.83</v>
      </c>
      <c r="BW40" s="9">
        <v>50.890999999999998</v>
      </c>
      <c r="BX40" s="9">
        <v>32.453000000000003</v>
      </c>
      <c r="BY40" s="9">
        <v>15.093999999999999</v>
      </c>
      <c r="BZ40" s="9">
        <v>10.762</v>
      </c>
      <c r="CA40" s="9">
        <v>23.27373636983112</v>
      </c>
      <c r="CB40" s="9">
        <v>7.7939910408265228E-2</v>
      </c>
      <c r="CC40" s="9">
        <v>252.4290171934378</v>
      </c>
      <c r="CD40" s="9">
        <v>20.040992666472768</v>
      </c>
      <c r="CE40" s="9">
        <v>21.746568350499889</v>
      </c>
      <c r="CF40" s="9">
        <v>31.719701366331059</v>
      </c>
      <c r="CG40" s="9">
        <v>14.381759928255358</v>
      </c>
      <c r="CH40" s="9">
        <v>3.5061795989626145E-2</v>
      </c>
      <c r="CI40" s="9">
        <v>185.22246865001156</v>
      </c>
      <c r="CJ40" s="9">
        <v>12.959011378872177</v>
      </c>
      <c r="CK40" s="9">
        <v>35.921478993475787</v>
      </c>
      <c r="CL40" s="9">
        <v>27.958336055662109</v>
      </c>
      <c r="CM40" s="9">
        <v>923.41909999999996</v>
      </c>
      <c r="CN40" s="9">
        <v>151.32660000000001</v>
      </c>
      <c r="CO40" s="9">
        <f>AVERAGE(CO38:CO39)</f>
        <v>640.3877</v>
      </c>
      <c r="CP40" s="9">
        <v>1.6388</v>
      </c>
      <c r="CQ40" s="9">
        <v>923.41909999999996</v>
      </c>
      <c r="CR40" s="9">
        <v>19.477</v>
      </c>
      <c r="CS40" s="9">
        <v>5759</v>
      </c>
      <c r="CT40" s="9">
        <v>15.4</v>
      </c>
      <c r="CU40" s="9">
        <v>1</v>
      </c>
      <c r="CV40" s="9">
        <v>457.09714679725448</v>
      </c>
      <c r="CW40" s="9">
        <v>0.82</v>
      </c>
      <c r="CX40" s="9">
        <v>25.650880548680444</v>
      </c>
      <c r="CY40" s="9">
        <v>0.70994371898408715</v>
      </c>
      <c r="CZ40" s="9">
        <v>343.99345769854295</v>
      </c>
      <c r="DA40" s="9">
        <v>19.979577466577723</v>
      </c>
      <c r="DB40" s="9">
        <v>3.0525486981354222</v>
      </c>
      <c r="DC40" s="9">
        <v>39.106025695800781</v>
      </c>
      <c r="DD40" s="9">
        <v>83</v>
      </c>
      <c r="DE40" s="9">
        <v>88</v>
      </c>
      <c r="DF40" s="9">
        <v>118</v>
      </c>
      <c r="DG40" s="9">
        <v>69</v>
      </c>
      <c r="DH40" s="9">
        <v>19</v>
      </c>
      <c r="DI40" s="9">
        <v>16</v>
      </c>
      <c r="DJ40" s="9">
        <v>65.11</v>
      </c>
      <c r="DK40" s="9">
        <v>40.17</v>
      </c>
      <c r="DL40" s="9">
        <v>18.75</v>
      </c>
      <c r="DM40" s="9">
        <v>17.98</v>
      </c>
      <c r="DN40" s="9">
        <f t="shared" si="28"/>
        <v>21.42</v>
      </c>
      <c r="DO40" s="9">
        <f t="shared" si="29"/>
        <v>0.46676624346527257</v>
      </c>
    </row>
    <row r="41" spans="1:119" x14ac:dyDescent="0.25">
      <c r="A41" s="12">
        <v>1</v>
      </c>
      <c r="B41" s="12">
        <v>14</v>
      </c>
      <c r="C41" s="14" t="s">
        <v>218</v>
      </c>
      <c r="D41" s="8" t="s">
        <v>222</v>
      </c>
      <c r="E41" s="8">
        <v>1</v>
      </c>
      <c r="F41" s="9">
        <v>35.700000000000003</v>
      </c>
      <c r="G41" s="9">
        <v>0</v>
      </c>
      <c r="H41" s="9">
        <v>3</v>
      </c>
      <c r="I41" s="9">
        <v>21.1</v>
      </c>
      <c r="J41" s="9">
        <v>0.65</v>
      </c>
      <c r="K41" s="9">
        <v>9.6999999999999993</v>
      </c>
      <c r="L41" s="9">
        <v>0.2</v>
      </c>
      <c r="M41" s="9">
        <v>0.45200000000000001</v>
      </c>
      <c r="N41" s="9">
        <v>0.109</v>
      </c>
      <c r="O41" s="9">
        <v>0.10100000000000001</v>
      </c>
      <c r="P41" s="9">
        <v>6.8000000000000005E-2</v>
      </c>
      <c r="Q41" s="9">
        <v>7.3194215574647741</v>
      </c>
      <c r="R41" s="9">
        <v>4.891104717088917E-2</v>
      </c>
      <c r="S41" s="9">
        <v>114.336315820362</v>
      </c>
      <c r="T41" s="9">
        <v>1.2425289035007909</v>
      </c>
      <c r="U41" s="9">
        <v>2.4233535452676946</v>
      </c>
      <c r="V41" s="9">
        <v>29.91407585144043</v>
      </c>
      <c r="W41" s="9">
        <v>154.56229999999999</v>
      </c>
      <c r="X41" s="9">
        <v>5.8009000000000004</v>
      </c>
      <c r="Y41" s="9">
        <v>16.099299999999999</v>
      </c>
      <c r="Z41" s="9">
        <v>0.31859999999999999</v>
      </c>
      <c r="AA41" s="9">
        <v>154.56229999999999</v>
      </c>
      <c r="AB41" s="9">
        <v>0.13300000000000001</v>
      </c>
      <c r="AC41" s="9">
        <v>1085</v>
      </c>
      <c r="AD41" s="9">
        <v>57.5</v>
      </c>
      <c r="AE41" s="9">
        <v>24</v>
      </c>
      <c r="AF41" s="9">
        <v>67</v>
      </c>
      <c r="AG41" s="9">
        <v>39</v>
      </c>
      <c r="AH41" s="9">
        <v>28.3</v>
      </c>
      <c r="AI41" s="9">
        <v>1.1000000000000001</v>
      </c>
      <c r="AJ41" s="9">
        <v>0.9</v>
      </c>
      <c r="AK41" s="9">
        <v>470.5</v>
      </c>
      <c r="AL41" s="9">
        <v>411.5</v>
      </c>
      <c r="AM41" s="9">
        <v>0.85</v>
      </c>
      <c r="AN41" s="9">
        <v>0.85</v>
      </c>
      <c r="AO41" s="9">
        <v>35.21</v>
      </c>
      <c r="AP41" s="9">
        <v>14.459</v>
      </c>
      <c r="AQ41" s="9">
        <v>12.967000000000001</v>
      </c>
      <c r="AR41" s="9">
        <v>3.7690000000000001</v>
      </c>
      <c r="AS41" s="9">
        <v>22.163363934688473</v>
      </c>
      <c r="AT41" s="9">
        <v>6.7576284824679311E-2</v>
      </c>
      <c r="AU41" s="9">
        <v>246.75860622921772</v>
      </c>
      <c r="AV41" s="9">
        <v>18.442883671842697</v>
      </c>
      <c r="AW41" s="9">
        <v>22.887145945203894</v>
      </c>
      <c r="AX41" s="9">
        <v>32.901715851440429</v>
      </c>
      <c r="AY41" s="9">
        <v>22.906984170237624</v>
      </c>
      <c r="AZ41" s="9">
        <v>3.4296322915473534E-2</v>
      </c>
      <c r="BA41" s="9">
        <v>107.96444979836792</v>
      </c>
      <c r="BB41" s="9">
        <v>20.755199503190212</v>
      </c>
      <c r="BC41" s="9">
        <v>49.221732362059562</v>
      </c>
      <c r="BD41" s="9">
        <v>27.95974252844043</v>
      </c>
      <c r="BE41" s="9">
        <v>320.37513333333334</v>
      </c>
      <c r="BF41" s="9">
        <v>50.470999999999997</v>
      </c>
      <c r="BG41" s="9">
        <v>158.55926666666667</v>
      </c>
      <c r="BH41" s="9">
        <v>1.5866666666666667</v>
      </c>
      <c r="BI41" s="9">
        <v>320.37513333333334</v>
      </c>
      <c r="BJ41" s="9">
        <v>6.8660000000000005</v>
      </c>
      <c r="BK41" s="9">
        <v>1323.3333333333333</v>
      </c>
      <c r="BL41" s="9">
        <v>77.5</v>
      </c>
      <c r="BM41" s="9">
        <v>37</v>
      </c>
      <c r="BN41" s="9">
        <v>124</v>
      </c>
      <c r="BO41" s="9">
        <v>30.5</v>
      </c>
      <c r="BP41" s="9">
        <v>31</v>
      </c>
      <c r="BQ41" s="9">
        <v>1</v>
      </c>
      <c r="BR41" s="9">
        <v>0.8</v>
      </c>
      <c r="BS41" s="9">
        <v>386.37505713746452</v>
      </c>
      <c r="BT41" s="9">
        <v>368.62527609484033</v>
      </c>
      <c r="BU41" s="9">
        <v>0.85</v>
      </c>
      <c r="BV41" s="9">
        <v>0.85</v>
      </c>
      <c r="BW41" s="9">
        <v>81.765000000000001</v>
      </c>
      <c r="BX41" s="9">
        <v>51.347000000000001</v>
      </c>
      <c r="BY41" s="9">
        <v>19.632000000000001</v>
      </c>
      <c r="BZ41" s="9">
        <v>15.679</v>
      </c>
      <c r="CA41" s="9">
        <v>23.27373636983112</v>
      </c>
      <c r="CB41" s="9">
        <v>7.7939910408265228E-2</v>
      </c>
      <c r="CC41" s="9">
        <v>252.4290171934378</v>
      </c>
      <c r="CD41" s="9">
        <v>20.040992666472768</v>
      </c>
      <c r="CE41" s="9">
        <v>21.746568350499889</v>
      </c>
      <c r="CF41" s="9">
        <v>33.653142528440426</v>
      </c>
      <c r="CG41" s="9">
        <v>17.057853441320866</v>
      </c>
      <c r="CH41" s="9">
        <v>2.3678471348287922E-2</v>
      </c>
      <c r="CI41" s="9">
        <v>105.0577011807914</v>
      </c>
      <c r="CJ41" s="9">
        <v>14.397795033740636</v>
      </c>
      <c r="CK41" s="9">
        <v>50.708333034837615</v>
      </c>
      <c r="CL41" s="9">
        <v>31.825218379880859</v>
      </c>
      <c r="CM41" s="9">
        <v>200.10560000000001</v>
      </c>
      <c r="CN41" s="9">
        <v>257.67110000000002</v>
      </c>
      <c r="CO41" s="9">
        <v>809.49760000000003</v>
      </c>
      <c r="CP41" s="9">
        <f>AVERAGE(CP42:CP43)</f>
        <v>7.6720499999999996</v>
      </c>
      <c r="CQ41" s="9">
        <f t="shared" ref="CQ41:CR41" si="33">AVERAGE(CQ42:CQ43)</f>
        <v>303.41634999999997</v>
      </c>
      <c r="CR41" s="9">
        <f t="shared" si="33"/>
        <v>139.048</v>
      </c>
      <c r="CS41" s="9">
        <v>3024</v>
      </c>
      <c r="CT41" s="9">
        <v>22</v>
      </c>
      <c r="CU41" s="9">
        <v>1.1000000000000001</v>
      </c>
      <c r="CV41" s="9">
        <v>393.67397919200818</v>
      </c>
      <c r="CW41" s="9">
        <v>0.84</v>
      </c>
      <c r="CX41" s="9">
        <v>25.553687066018703</v>
      </c>
      <c r="CY41" s="9">
        <v>0.55828992545363398</v>
      </c>
      <c r="CZ41" s="9">
        <v>325.74174087379708</v>
      </c>
      <c r="DA41" s="9">
        <v>17.543062347525773</v>
      </c>
      <c r="DB41" s="9">
        <v>3.3023088937492511</v>
      </c>
      <c r="DC41" s="9">
        <v>39.413284301757813</v>
      </c>
      <c r="DD41" s="9">
        <v>80</v>
      </c>
      <c r="DE41" s="9">
        <v>85</v>
      </c>
      <c r="DF41" s="9">
        <v>117</v>
      </c>
      <c r="DG41" s="9">
        <v>85.2</v>
      </c>
      <c r="DH41" s="9">
        <v>39</v>
      </c>
      <c r="DI41" s="9">
        <v>25</v>
      </c>
      <c r="DJ41" s="9">
        <v>76.111999999999995</v>
      </c>
      <c r="DK41" s="9">
        <v>43.65</v>
      </c>
      <c r="DL41" s="9">
        <v>23.52</v>
      </c>
      <c r="DM41" s="9">
        <v>22.55</v>
      </c>
      <c r="DN41" s="9">
        <f t="shared" si="28"/>
        <v>20.13</v>
      </c>
      <c r="DO41" s="9">
        <f t="shared" si="29"/>
        <v>0.53883161512027489</v>
      </c>
    </row>
    <row r="42" spans="1:119" x14ac:dyDescent="0.25">
      <c r="A42" s="12">
        <v>2</v>
      </c>
      <c r="B42" s="12">
        <v>14</v>
      </c>
      <c r="C42" s="14" t="s">
        <v>218</v>
      </c>
      <c r="D42" s="8" t="s">
        <v>222</v>
      </c>
      <c r="E42" s="8">
        <v>2</v>
      </c>
      <c r="F42" s="9">
        <v>38.700000000000003</v>
      </c>
      <c r="G42" s="9">
        <v>0</v>
      </c>
      <c r="H42" s="9">
        <v>3</v>
      </c>
      <c r="I42" s="9">
        <v>20.5</v>
      </c>
      <c r="J42" s="9">
        <v>0.5</v>
      </c>
      <c r="K42" s="9">
        <v>8.4</v>
      </c>
      <c r="L42" s="9">
        <v>0.3</v>
      </c>
      <c r="M42" s="9">
        <v>0.43300000000000005</v>
      </c>
      <c r="N42" s="9">
        <v>0.115</v>
      </c>
      <c r="O42" s="9">
        <v>0.121</v>
      </c>
      <c r="P42" s="9">
        <v>7.2999999999999995E-2</v>
      </c>
      <c r="Q42" s="9">
        <v>6.3188288284080887</v>
      </c>
      <c r="R42" s="9">
        <v>5.1111824731510415E-2</v>
      </c>
      <c r="S42" s="9">
        <v>112.33990109195879</v>
      </c>
      <c r="T42" s="9">
        <v>1.2715567094641211</v>
      </c>
      <c r="U42" s="9">
        <v>2.394674708878942</v>
      </c>
      <c r="V42" s="9">
        <v>29.82878589630127</v>
      </c>
      <c r="W42" s="9">
        <v>161.8912</v>
      </c>
      <c r="X42" s="9">
        <v>5.7439999999999998</v>
      </c>
      <c r="Y42" s="9">
        <v>18.2241</v>
      </c>
      <c r="Z42" s="9">
        <v>0.28489999999999999</v>
      </c>
      <c r="AA42" s="9">
        <v>182.08529999999999</v>
      </c>
      <c r="AB42" s="9">
        <v>0.14499999999999999</v>
      </c>
      <c r="AC42" s="9">
        <v>949</v>
      </c>
      <c r="AD42" s="9">
        <v>58.2</v>
      </c>
      <c r="AE42" s="9">
        <v>26</v>
      </c>
      <c r="AF42" s="9">
        <v>73</v>
      </c>
      <c r="AG42" s="9">
        <v>38.700000000000003</v>
      </c>
      <c r="AH42" s="9">
        <v>30.8</v>
      </c>
      <c r="AI42" s="9">
        <v>1.2</v>
      </c>
      <c r="AJ42" s="9">
        <v>1</v>
      </c>
      <c r="AK42" s="9">
        <v>440.1</v>
      </c>
      <c r="AL42" s="9">
        <v>431.6</v>
      </c>
      <c r="AM42" s="9">
        <v>0.85</v>
      </c>
      <c r="AN42" s="9">
        <v>0.83</v>
      </c>
      <c r="AO42" s="9">
        <v>38.43</v>
      </c>
      <c r="AP42" s="9">
        <v>13.984</v>
      </c>
      <c r="AQ42" s="9">
        <v>13.412000000000001</v>
      </c>
      <c r="AR42" s="9">
        <v>3.9820000000000002</v>
      </c>
      <c r="AS42" s="9">
        <v>22.858248620685966</v>
      </c>
      <c r="AT42" s="9">
        <v>4.7883670589062122E-2</v>
      </c>
      <c r="AU42" s="9">
        <v>163.78924976119953</v>
      </c>
      <c r="AV42" s="9">
        <v>18.615586887233881</v>
      </c>
      <c r="AW42" s="9">
        <v>38.886609081238284</v>
      </c>
      <c r="AX42" s="9">
        <v>32.816425896301268</v>
      </c>
      <c r="AY42" s="9">
        <v>23.655431552121506</v>
      </c>
      <c r="AZ42" s="9">
        <v>2.2826407072979938E-2</v>
      </c>
      <c r="BA42" s="9">
        <v>86.496140958310519</v>
      </c>
      <c r="BB42" s="9">
        <v>17.553669038113448</v>
      </c>
      <c r="BC42" s="9">
        <v>53.335911576963312</v>
      </c>
      <c r="BD42" s="9">
        <v>27.874452573301269</v>
      </c>
      <c r="BE42" s="9">
        <v>198.3442</v>
      </c>
      <c r="BF42" s="9">
        <v>107.55323333333332</v>
      </c>
      <c r="BG42" s="9">
        <v>337.88843333333335</v>
      </c>
      <c r="BH42" s="9">
        <v>8.1231666666666662</v>
      </c>
      <c r="BI42" s="9">
        <v>198.3442</v>
      </c>
      <c r="BJ42" s="9">
        <v>72.523333333333326</v>
      </c>
      <c r="BK42" s="9">
        <v>1411.6666666666667</v>
      </c>
      <c r="BL42" s="9">
        <v>83.2</v>
      </c>
      <c r="BM42" s="9">
        <v>31</v>
      </c>
      <c r="BN42" s="9">
        <v>103</v>
      </c>
      <c r="BO42" s="9">
        <v>29.7</v>
      </c>
      <c r="BP42" s="9">
        <v>31.3</v>
      </c>
      <c r="BQ42" s="9">
        <v>1</v>
      </c>
      <c r="BR42" s="9">
        <v>0.8</v>
      </c>
      <c r="BS42" s="9">
        <v>396.57822999628564</v>
      </c>
      <c r="BT42" s="9">
        <v>365.63375122899635</v>
      </c>
      <c r="BU42" s="9">
        <v>0.84</v>
      </c>
      <c r="BV42" s="9">
        <v>0.83</v>
      </c>
      <c r="BW42" s="9">
        <v>72.617000000000004</v>
      </c>
      <c r="BX42" s="9">
        <v>43.968000000000004</v>
      </c>
      <c r="BY42" s="9">
        <v>16.849</v>
      </c>
      <c r="BZ42" s="9">
        <v>13.212999999999999</v>
      </c>
      <c r="CA42" s="9">
        <v>22.163363934688473</v>
      </c>
      <c r="CB42" s="9">
        <v>6.7576284824679311E-2</v>
      </c>
      <c r="CC42" s="9">
        <v>246.75860622921772</v>
      </c>
      <c r="CD42" s="9">
        <v>18.442883671842697</v>
      </c>
      <c r="CE42" s="9">
        <v>22.887145945203894</v>
      </c>
      <c r="CF42" s="9">
        <v>33.567852573301266</v>
      </c>
      <c r="CG42" s="9">
        <v>22.875962490865255</v>
      </c>
      <c r="CH42" s="9">
        <v>2.6180567611581284E-2</v>
      </c>
      <c r="CI42" s="9">
        <v>80.113343806971699</v>
      </c>
      <c r="CJ42" s="9">
        <v>21.273386504195905</v>
      </c>
      <c r="CK42" s="9">
        <v>54.482440480780667</v>
      </c>
      <c r="CL42" s="9">
        <v>31.654638469602538</v>
      </c>
      <c r="CM42" s="9">
        <v>273.92349999999999</v>
      </c>
      <c r="CN42" s="9">
        <v>236.41470000000001</v>
      </c>
      <c r="CO42" s="9">
        <v>742.71879999999999</v>
      </c>
      <c r="CP42" s="9">
        <v>8.6306999999999992</v>
      </c>
      <c r="CQ42" s="9">
        <v>273.92349999999999</v>
      </c>
      <c r="CR42" s="9">
        <v>160.25399999999999</v>
      </c>
      <c r="CS42" s="9">
        <v>3048</v>
      </c>
      <c r="CT42" s="9">
        <v>18.3</v>
      </c>
      <c r="CU42" s="9">
        <v>1.1000000000000001</v>
      </c>
      <c r="CV42" s="9">
        <v>403.80149110579748</v>
      </c>
      <c r="CW42" s="9">
        <v>0.84</v>
      </c>
      <c r="CX42" s="9">
        <v>25.745096550888334</v>
      </c>
      <c r="CY42" s="9">
        <v>0.55710260434445591</v>
      </c>
      <c r="CZ42" s="9">
        <v>324.92594309737842</v>
      </c>
      <c r="DA42" s="9">
        <v>17.52554248979834</v>
      </c>
      <c r="DB42" s="9">
        <v>3.3051878466951563</v>
      </c>
      <c r="DC42" s="9">
        <v>39.418952941894531</v>
      </c>
      <c r="DD42" s="9">
        <v>80</v>
      </c>
      <c r="DE42" s="9">
        <v>85</v>
      </c>
      <c r="DF42" s="9">
        <v>117</v>
      </c>
      <c r="DG42" s="9">
        <v>87.1</v>
      </c>
      <c r="DH42" s="9">
        <v>35</v>
      </c>
      <c r="DI42" s="9">
        <v>21</v>
      </c>
      <c r="DJ42" s="9">
        <v>71.58</v>
      </c>
      <c r="DK42" s="9">
        <v>40.950000000000003</v>
      </c>
      <c r="DL42" s="9">
        <v>21.65</v>
      </c>
      <c r="DM42" s="9">
        <v>21.69</v>
      </c>
      <c r="DN42" s="9">
        <f t="shared" si="28"/>
        <v>19.300000000000004</v>
      </c>
      <c r="DO42" s="9">
        <f t="shared" si="29"/>
        <v>0.52869352869352859</v>
      </c>
    </row>
    <row r="43" spans="1:119" x14ac:dyDescent="0.25">
      <c r="A43" s="12">
        <v>3</v>
      </c>
      <c r="B43" s="12">
        <v>14</v>
      </c>
      <c r="C43" s="14" t="s">
        <v>218</v>
      </c>
      <c r="D43" s="8" t="s">
        <v>222</v>
      </c>
      <c r="E43" s="8">
        <v>3</v>
      </c>
      <c r="F43" s="9">
        <v>38.6</v>
      </c>
      <c r="G43" s="9">
        <v>0</v>
      </c>
      <c r="H43" s="9">
        <v>3</v>
      </c>
      <c r="I43" s="9">
        <v>20.8</v>
      </c>
      <c r="J43" s="9">
        <v>0.6</v>
      </c>
      <c r="K43" s="9">
        <v>8.6</v>
      </c>
      <c r="L43" s="9">
        <v>0.25</v>
      </c>
      <c r="M43" s="9">
        <v>0.46700000000000003</v>
      </c>
      <c r="N43" s="9">
        <v>0.10299999999999999</v>
      </c>
      <c r="O43" s="9">
        <v>0.105</v>
      </c>
      <c r="P43" s="9">
        <v>7.4999999999999997E-2</v>
      </c>
      <c r="Q43" s="9">
        <v>9.3274520283015008</v>
      </c>
      <c r="R43" s="9">
        <v>3.1970870519722167E-2</v>
      </c>
      <c r="S43" s="9">
        <v>-112.36369356634722</v>
      </c>
      <c r="T43" s="9">
        <v>1.75814224757691</v>
      </c>
      <c r="U43" s="9">
        <v>2.2603663533509719</v>
      </c>
      <c r="V43" s="9">
        <v>28.489471435546875</v>
      </c>
      <c r="W43" s="9">
        <v>182.08529999999999</v>
      </c>
      <c r="X43" s="9">
        <v>12.139099999999999</v>
      </c>
      <c r="Y43" s="9">
        <v>18.045300000000001</v>
      </c>
      <c r="Z43" s="9">
        <v>0.3856</v>
      </c>
      <c r="AA43" s="9">
        <v>201.60650000000001</v>
      </c>
      <c r="AB43" s="9">
        <v>0.129</v>
      </c>
      <c r="AC43" s="9">
        <v>1213</v>
      </c>
      <c r="AD43" s="9">
        <v>50.8</v>
      </c>
      <c r="AE43" s="9">
        <v>19</v>
      </c>
      <c r="AF43" s="9">
        <v>58</v>
      </c>
      <c r="AG43" s="9">
        <v>31.6</v>
      </c>
      <c r="AH43" s="9">
        <v>25.8</v>
      </c>
      <c r="AI43" s="9">
        <v>1</v>
      </c>
      <c r="AJ43" s="9">
        <v>0.9</v>
      </c>
      <c r="AK43" s="9">
        <v>408.2</v>
      </c>
      <c r="AL43" s="9">
        <v>410.7</v>
      </c>
      <c r="AM43" s="9">
        <v>0.85</v>
      </c>
      <c r="AN43" s="9">
        <v>0.83</v>
      </c>
      <c r="AO43" s="9">
        <v>28.42</v>
      </c>
      <c r="AP43" s="9">
        <v>13.215</v>
      </c>
      <c r="AQ43" s="9">
        <v>11.627000000000001</v>
      </c>
      <c r="AR43" s="9">
        <v>3.0910000000000002</v>
      </c>
      <c r="AS43" s="9">
        <v>24.986650181004386</v>
      </c>
      <c r="AT43" s="9">
        <v>2.9579829677540914E-2</v>
      </c>
      <c r="AU43" s="9">
        <v>117.73210093070347</v>
      </c>
      <c r="AV43" s="9">
        <v>18.793676079259434</v>
      </c>
      <c r="AW43" s="9">
        <v>46.630729982876865</v>
      </c>
      <c r="AX43" s="9">
        <v>31.477111435546874</v>
      </c>
      <c r="AY43" s="9">
        <v>16.768514398345332</v>
      </c>
      <c r="AZ43" s="9">
        <v>5.0563747882411768E-2</v>
      </c>
      <c r="BA43" s="9">
        <v>249.20939475166756</v>
      </c>
      <c r="BB43" s="9">
        <v>13.983699453476286</v>
      </c>
      <c r="BC43" s="9">
        <v>23.099784937889215</v>
      </c>
      <c r="BD43" s="9">
        <v>26.535138112546875</v>
      </c>
      <c r="BE43" s="9">
        <f t="shared" ref="BE43:BK43" si="34">AVERAGE(BE41:BE42)</f>
        <v>259.35966666666667</v>
      </c>
      <c r="BF43" s="9">
        <f t="shared" si="34"/>
        <v>79.012116666666657</v>
      </c>
      <c r="BG43" s="9">
        <f t="shared" si="34"/>
        <v>248.22385000000003</v>
      </c>
      <c r="BH43" s="9">
        <f t="shared" si="34"/>
        <v>4.8549166666666661</v>
      </c>
      <c r="BI43" s="9">
        <f t="shared" si="34"/>
        <v>259.35966666666667</v>
      </c>
      <c r="BJ43" s="9">
        <f t="shared" si="34"/>
        <v>39.694666666666663</v>
      </c>
      <c r="BK43" s="9">
        <f t="shared" si="34"/>
        <v>1367.5</v>
      </c>
      <c r="BL43" s="9">
        <v>81.5</v>
      </c>
      <c r="BM43" s="9">
        <v>31</v>
      </c>
      <c r="BN43" s="9">
        <v>120</v>
      </c>
      <c r="BO43" s="9">
        <v>29.9</v>
      </c>
      <c r="BP43" s="9">
        <v>30.5</v>
      </c>
      <c r="BQ43" s="9">
        <v>1</v>
      </c>
      <c r="BR43" s="9">
        <v>0.8</v>
      </c>
      <c r="BS43" s="9">
        <v>398.0271266294078</v>
      </c>
      <c r="BT43" s="9">
        <v>364.13430914210937</v>
      </c>
      <c r="BU43" s="9">
        <v>0.85</v>
      </c>
      <c r="BV43" s="9">
        <v>0.83</v>
      </c>
      <c r="BW43" s="9">
        <v>78.094999999999999</v>
      </c>
      <c r="BX43" s="9">
        <v>50.146000000000001</v>
      </c>
      <c r="BY43" s="9">
        <v>20.975000000000001</v>
      </c>
      <c r="BZ43" s="9">
        <v>14.521000000000001</v>
      </c>
      <c r="CA43" s="9">
        <v>22.938005849609993</v>
      </c>
      <c r="CB43" s="9">
        <v>4.2412078219365788E-2</v>
      </c>
      <c r="CC43" s="9">
        <v>135.81555578976418</v>
      </c>
      <c r="CD43" s="9">
        <v>20.23701250218452</v>
      </c>
      <c r="CE43" s="9">
        <v>43.961024243338457</v>
      </c>
      <c r="CF43" s="9">
        <v>32.228538112546879</v>
      </c>
      <c r="CG43" s="9">
        <v>22.858248620685966</v>
      </c>
      <c r="CH43" s="9">
        <v>4.7883670589062122E-2</v>
      </c>
      <c r="CI43" s="9">
        <v>163.78924976119953</v>
      </c>
      <c r="CJ43" s="9">
        <v>18.615586887233881</v>
      </c>
      <c r="CK43" s="9">
        <v>38.886609081238284</v>
      </c>
      <c r="CL43" s="9">
        <v>28.976009548093749</v>
      </c>
      <c r="CM43" s="9">
        <v>332.9092</v>
      </c>
      <c r="CN43" s="9">
        <v>223.4948</v>
      </c>
      <c r="CO43" s="9">
        <v>702.12969999999996</v>
      </c>
      <c r="CP43" s="9">
        <v>6.7134</v>
      </c>
      <c r="CQ43" s="9">
        <v>332.9092</v>
      </c>
      <c r="CR43" s="9">
        <v>117.842</v>
      </c>
      <c r="CS43" s="9">
        <v>4772</v>
      </c>
      <c r="CT43" s="9">
        <v>24.5</v>
      </c>
      <c r="CU43" s="9">
        <v>1.1000000000000001</v>
      </c>
      <c r="CV43" s="9">
        <v>399.4738882066228</v>
      </c>
      <c r="CW43" s="9">
        <v>0.84</v>
      </c>
      <c r="CX43" s="9">
        <v>25.808872565649423</v>
      </c>
      <c r="CY43" s="9">
        <v>0.55611064249789666</v>
      </c>
      <c r="CZ43" s="9">
        <v>324.56883034319156</v>
      </c>
      <c r="DA43" s="9">
        <v>17.514448922106386</v>
      </c>
      <c r="DB43" s="9">
        <v>3.3082539045845993</v>
      </c>
      <c r="DC43" s="9">
        <v>39.425430297851563</v>
      </c>
      <c r="DD43" s="9">
        <v>80</v>
      </c>
      <c r="DE43" s="9">
        <v>85</v>
      </c>
      <c r="DF43" s="9">
        <v>117</v>
      </c>
      <c r="DG43" s="9">
        <v>89.3</v>
      </c>
      <c r="DH43" s="9">
        <v>34</v>
      </c>
      <c r="DI43" s="9">
        <v>26</v>
      </c>
      <c r="DJ43" s="9">
        <v>77.59</v>
      </c>
      <c r="DK43" s="9">
        <v>43.95</v>
      </c>
      <c r="DL43" s="9">
        <v>23.97</v>
      </c>
      <c r="DM43" s="9">
        <v>23.03</v>
      </c>
      <c r="DN43" s="9">
        <f t="shared" si="28"/>
        <v>19.980000000000004</v>
      </c>
      <c r="DO43" s="9">
        <f t="shared" si="29"/>
        <v>0.54539249146757673</v>
      </c>
    </row>
    <row r="44" spans="1:119" x14ac:dyDescent="0.25">
      <c r="A44" s="12">
        <v>1</v>
      </c>
      <c r="B44" s="12">
        <v>15</v>
      </c>
      <c r="C44" s="14" t="s">
        <v>219</v>
      </c>
      <c r="D44" s="8" t="s">
        <v>222</v>
      </c>
      <c r="E44" s="8">
        <v>1</v>
      </c>
      <c r="F44" s="9">
        <v>36.700000000000003</v>
      </c>
      <c r="G44" s="9">
        <v>0</v>
      </c>
      <c r="H44" s="9">
        <v>3</v>
      </c>
      <c r="I44" s="9">
        <v>18.7</v>
      </c>
      <c r="J44" s="9">
        <v>0.7</v>
      </c>
      <c r="K44" s="9">
        <v>7.5</v>
      </c>
      <c r="L44" s="9">
        <v>0.25</v>
      </c>
      <c r="M44" s="9">
        <v>0.43599999999999994</v>
      </c>
      <c r="N44" s="9">
        <v>0.16500000000000001</v>
      </c>
      <c r="O44" s="9">
        <v>0.12</v>
      </c>
      <c r="P44" s="9">
        <v>6.9000000000000006E-2</v>
      </c>
      <c r="Q44" s="9">
        <v>15.034042132630878</v>
      </c>
      <c r="R44" s="9">
        <v>0.23280804205126998</v>
      </c>
      <c r="S44" s="9">
        <v>241.87752392025459</v>
      </c>
      <c r="T44" s="9">
        <v>4.6759236931468537</v>
      </c>
      <c r="U44" s="9">
        <v>1.994224167148315</v>
      </c>
      <c r="V44" s="9">
        <v>27.569540023803711</v>
      </c>
      <c r="W44" s="9">
        <v>201.60650000000001</v>
      </c>
      <c r="X44" s="9">
        <v>17.877800000000001</v>
      </c>
      <c r="Y44" s="9">
        <v>38.136000000000003</v>
      </c>
      <c r="Z44" s="9">
        <v>0.40820000000000001</v>
      </c>
      <c r="AA44" s="9">
        <v>236.68790000000001</v>
      </c>
      <c r="AB44" s="9">
        <v>0.626</v>
      </c>
      <c r="AC44" s="9">
        <v>1633</v>
      </c>
      <c r="AD44" s="9">
        <v>54.9</v>
      </c>
      <c r="AE44" s="9">
        <v>23</v>
      </c>
      <c r="AF44" s="9">
        <v>72</v>
      </c>
      <c r="AG44" s="9">
        <v>41.2</v>
      </c>
      <c r="AH44" s="9">
        <v>29.6</v>
      </c>
      <c r="AI44" s="9">
        <v>1.2</v>
      </c>
      <c r="AJ44" s="9">
        <v>0.9</v>
      </c>
      <c r="AK44" s="9">
        <v>286.10000000000002</v>
      </c>
      <c r="AL44" s="9">
        <v>265.39999999999998</v>
      </c>
      <c r="AM44" s="9">
        <v>0.82</v>
      </c>
      <c r="AN44" s="9">
        <v>0.81</v>
      </c>
      <c r="AO44" s="9">
        <v>32.869999999999997</v>
      </c>
      <c r="AP44" s="9">
        <v>15.981999999999999</v>
      </c>
      <c r="AQ44" s="9">
        <v>10.981</v>
      </c>
      <c r="AR44" s="9">
        <v>3.125</v>
      </c>
      <c r="AS44" s="9">
        <v>21.261611602938807</v>
      </c>
      <c r="AT44" s="9">
        <v>6.1999909497406726E-2</v>
      </c>
      <c r="AU44" s="9">
        <v>241.85138572246962</v>
      </c>
      <c r="AV44" s="9">
        <v>17.481350613097504</v>
      </c>
      <c r="AW44" s="9">
        <v>23.542206767642938</v>
      </c>
      <c r="AX44" s="9">
        <v>30.55718002380371</v>
      </c>
      <c r="AY44" s="9">
        <v>11.921655209064962</v>
      </c>
      <c r="AZ44" s="9">
        <v>2.541236535560118E-2</v>
      </c>
      <c r="BA44" s="9">
        <v>183.54827211058412</v>
      </c>
      <c r="BB44" s="9">
        <v>10.664751988507984</v>
      </c>
      <c r="BC44" s="9">
        <v>36.136600605854497</v>
      </c>
      <c r="BD44" s="9">
        <v>25.615206700803711</v>
      </c>
      <c r="BE44" s="9">
        <v>264.32829999999996</v>
      </c>
      <c r="BF44" s="9">
        <v>34.965266666666665</v>
      </c>
      <c r="BG44" s="9">
        <v>109.84670000000001</v>
      </c>
      <c r="BH44" s="9">
        <v>1.3224333333333333</v>
      </c>
      <c r="BI44" s="9">
        <v>264.32829999999996</v>
      </c>
      <c r="BJ44" s="9">
        <v>3.7516666666666669</v>
      </c>
      <c r="BK44" s="9">
        <v>875</v>
      </c>
      <c r="BL44" s="9">
        <v>86.7</v>
      </c>
      <c r="BM44" s="9">
        <v>41</v>
      </c>
      <c r="BN44" s="9">
        <v>135</v>
      </c>
      <c r="BO44" s="9">
        <v>31.6</v>
      </c>
      <c r="BP44" s="9">
        <v>30.5</v>
      </c>
      <c r="BQ44" s="9">
        <v>1</v>
      </c>
      <c r="BR44" s="9">
        <v>0.8</v>
      </c>
      <c r="BS44" s="9">
        <v>379.02003750596458</v>
      </c>
      <c r="BT44" s="9">
        <v>350.52586190798121</v>
      </c>
      <c r="BU44" s="9">
        <v>0.84</v>
      </c>
      <c r="BV44" s="9">
        <v>0.83</v>
      </c>
      <c r="BW44" s="9">
        <v>73.965000000000003</v>
      </c>
      <c r="BX44" s="9">
        <v>35.975999999999999</v>
      </c>
      <c r="BY44" s="9">
        <v>20.914999999999999</v>
      </c>
      <c r="BZ44" s="9">
        <v>12.435</v>
      </c>
      <c r="CA44" s="9">
        <v>24.986650181004386</v>
      </c>
      <c r="CB44" s="9">
        <v>2.9579829677540914E-2</v>
      </c>
      <c r="CC44" s="9">
        <v>117.73210093070347</v>
      </c>
      <c r="CD44" s="9">
        <v>18.793676079259434</v>
      </c>
      <c r="CE44" s="9">
        <v>46.630729982876865</v>
      </c>
      <c r="CF44" s="9">
        <v>31.308606700803711</v>
      </c>
      <c r="CG44" s="9">
        <v>23.655431552121506</v>
      </c>
      <c r="CH44" s="9">
        <v>2.2826407072979938E-2</v>
      </c>
      <c r="CI44" s="9">
        <v>86.496140958310519</v>
      </c>
      <c r="CJ44" s="9">
        <v>17.553669038113448</v>
      </c>
      <c r="CK44" s="9">
        <v>53.335911576963312</v>
      </c>
      <c r="CL44" s="9">
        <v>27.136146724607421</v>
      </c>
      <c r="CM44" s="9">
        <v>606.93470000000002</v>
      </c>
      <c r="CN44" s="9">
        <v>249.16390000000001</v>
      </c>
      <c r="CO44" s="9">
        <v>782.77160000000003</v>
      </c>
      <c r="CP44" s="9">
        <v>4.1052999999999997</v>
      </c>
      <c r="CQ44" s="9">
        <v>606.93470000000002</v>
      </c>
      <c r="CR44" s="9">
        <v>80.337000000000003</v>
      </c>
      <c r="CS44" s="9">
        <v>6859</v>
      </c>
      <c r="CT44" s="9">
        <v>21.5</v>
      </c>
      <c r="CU44" s="9">
        <v>1.2</v>
      </c>
      <c r="CV44" s="9">
        <v>353.56794103100185</v>
      </c>
      <c r="CW44" s="9">
        <v>0.83</v>
      </c>
      <c r="CX44" s="9">
        <v>20.527621982735013</v>
      </c>
      <c r="CY44" s="9">
        <v>0.32533746540909264</v>
      </c>
      <c r="CZ44" s="9">
        <v>296.37579038285332</v>
      </c>
      <c r="DA44" s="9">
        <v>13.660044685471011</v>
      </c>
      <c r="DB44" s="9">
        <v>4.1825896512383984</v>
      </c>
      <c r="DC44" s="9">
        <v>41.150260925292969</v>
      </c>
      <c r="DD44" s="9">
        <v>91</v>
      </c>
      <c r="DE44" s="9">
        <v>96</v>
      </c>
      <c r="DF44" s="9">
        <v>128</v>
      </c>
      <c r="DG44" s="9">
        <v>69</v>
      </c>
      <c r="DH44" s="9">
        <v>25</v>
      </c>
      <c r="DI44" s="9">
        <v>11</v>
      </c>
      <c r="DJ44" s="9">
        <v>66.95</v>
      </c>
      <c r="DK44" s="9">
        <v>38.15</v>
      </c>
      <c r="DL44" s="9">
        <v>20.350000000000001</v>
      </c>
      <c r="DM44" s="9">
        <v>21.58</v>
      </c>
      <c r="DN44" s="9">
        <f t="shared" si="28"/>
        <v>17.799999999999997</v>
      </c>
      <c r="DO44" s="9">
        <f t="shared" si="29"/>
        <v>0.53342070773263439</v>
      </c>
    </row>
    <row r="45" spans="1:119" x14ac:dyDescent="0.25">
      <c r="A45" s="12">
        <v>2</v>
      </c>
      <c r="B45" s="12">
        <v>15</v>
      </c>
      <c r="C45" s="14" t="s">
        <v>219</v>
      </c>
      <c r="D45" s="8" t="s">
        <v>222</v>
      </c>
      <c r="E45" s="8">
        <v>2</v>
      </c>
      <c r="F45" s="9">
        <v>38.5</v>
      </c>
      <c r="G45" s="9">
        <v>0</v>
      </c>
      <c r="H45" s="9">
        <v>3</v>
      </c>
      <c r="I45" s="9">
        <v>19.8</v>
      </c>
      <c r="J45" s="9">
        <v>0.6</v>
      </c>
      <c r="K45" s="9">
        <v>8.3000000000000007</v>
      </c>
      <c r="L45" s="9">
        <v>0.26</v>
      </c>
      <c r="M45" s="9">
        <v>0.48899999999999999</v>
      </c>
      <c r="N45" s="9">
        <v>0.17599999999999999</v>
      </c>
      <c r="O45" s="9">
        <v>9.0999999999999998E-2</v>
      </c>
      <c r="P45" s="9">
        <v>7.0999999999999994E-2</v>
      </c>
      <c r="Q45" s="9">
        <v>13.207400089248173</v>
      </c>
      <c r="R45" s="9">
        <v>0.22758797759930452</v>
      </c>
      <c r="S45" s="9">
        <v>252.17634711320423</v>
      </c>
      <c r="T45" s="9">
        <v>4.5842222031600688</v>
      </c>
      <c r="U45" s="9">
        <v>1.9979546759823386</v>
      </c>
      <c r="V45" s="9">
        <v>27.567728042602539</v>
      </c>
      <c r="W45" s="9">
        <v>236.68790000000001</v>
      </c>
      <c r="X45" s="9">
        <v>16.407699999999998</v>
      </c>
      <c r="Y45" s="9">
        <v>56.164700000000003</v>
      </c>
      <c r="Z45" s="9">
        <v>0.49690000000000001</v>
      </c>
      <c r="AA45" s="9">
        <v>280.3809</v>
      </c>
      <c r="AB45" s="9">
        <v>0.61699999999999999</v>
      </c>
      <c r="AC45" s="9">
        <v>1016</v>
      </c>
      <c r="AD45" s="9">
        <v>59</v>
      </c>
      <c r="AE45" s="9">
        <v>26</v>
      </c>
      <c r="AF45" s="9">
        <v>83</v>
      </c>
      <c r="AG45" s="9">
        <v>39.6</v>
      </c>
      <c r="AH45" s="9">
        <v>26.7</v>
      </c>
      <c r="AI45" s="9">
        <v>1.1000000000000001</v>
      </c>
      <c r="AJ45" s="9">
        <v>0.9</v>
      </c>
      <c r="AK45" s="9">
        <v>273.60000000000002</v>
      </c>
      <c r="AL45" s="9">
        <v>214.5</v>
      </c>
      <c r="AM45" s="9">
        <v>0.84</v>
      </c>
      <c r="AN45" s="9">
        <v>0.82</v>
      </c>
      <c r="AO45" s="9">
        <v>36.420999999999999</v>
      </c>
      <c r="AP45" s="9">
        <v>15.673</v>
      </c>
      <c r="AQ45" s="9">
        <v>12.141</v>
      </c>
      <c r="AR45" s="9">
        <v>3.512</v>
      </c>
      <c r="AS45" s="9">
        <v>27.871992022653171</v>
      </c>
      <c r="AT45" s="9">
        <v>3.1077576802102221E-2</v>
      </c>
      <c r="AU45" s="9">
        <v>84.073800376493409</v>
      </c>
      <c r="AV45" s="9">
        <v>23.405626654013702</v>
      </c>
      <c r="AW45" s="9">
        <v>53.7422726187473</v>
      </c>
      <c r="AX45" s="9">
        <v>30.555368042602538</v>
      </c>
      <c r="AY45" s="9">
        <v>23.352110868902358</v>
      </c>
      <c r="AZ45" s="9">
        <v>7.1260346543131112E-2</v>
      </c>
      <c r="BA45" s="9">
        <v>243.74845006566898</v>
      </c>
      <c r="BB45" s="9">
        <v>19.813401684429856</v>
      </c>
      <c r="BC45" s="9">
        <v>23.271924298105493</v>
      </c>
      <c r="BD45" s="9">
        <v>25.613394719602539</v>
      </c>
      <c r="BE45" s="9">
        <v>239.9007</v>
      </c>
      <c r="BF45" s="9">
        <v>14.580066666666667</v>
      </c>
      <c r="BG45" s="9">
        <v>67.062966666666668</v>
      </c>
      <c r="BH45" s="9">
        <v>0.92580000000000007</v>
      </c>
      <c r="BI45" s="9">
        <v>160.82276666666667</v>
      </c>
      <c r="BJ45" s="9">
        <v>1.0503333333333333</v>
      </c>
      <c r="BK45" s="9">
        <v>756.66666666666663</v>
      </c>
      <c r="BL45" s="9">
        <v>82.5</v>
      </c>
      <c r="BM45" s="9">
        <v>33</v>
      </c>
      <c r="BN45" s="9">
        <v>102</v>
      </c>
      <c r="BO45" s="9">
        <v>34.200000000000003</v>
      </c>
      <c r="BP45" s="9">
        <v>30.5</v>
      </c>
      <c r="BQ45" s="9">
        <v>1</v>
      </c>
      <c r="BR45" s="9">
        <v>0.8</v>
      </c>
      <c r="BS45" s="9">
        <v>390.76102962994929</v>
      </c>
      <c r="BT45" s="9">
        <v>347.47324037233329</v>
      </c>
      <c r="BU45" s="9">
        <v>0.84</v>
      </c>
      <c r="BV45" s="9">
        <v>0.82</v>
      </c>
      <c r="BW45" s="9">
        <v>68.153000000000006</v>
      </c>
      <c r="BX45" s="9">
        <v>41.524000000000001</v>
      </c>
      <c r="BY45" s="9">
        <v>19.731999999999999</v>
      </c>
      <c r="BZ45" s="9">
        <v>14.621</v>
      </c>
      <c r="CA45" s="9">
        <v>21.261611602938807</v>
      </c>
      <c r="CB45" s="9">
        <v>6.1999909497406726E-2</v>
      </c>
      <c r="CC45" s="9">
        <v>241.85138572246962</v>
      </c>
      <c r="CD45" s="9">
        <v>17.481350613097504</v>
      </c>
      <c r="CE45" s="9">
        <v>23.542206767642938</v>
      </c>
      <c r="CF45" s="9">
        <v>31.306794719602539</v>
      </c>
      <c r="CG45" s="9">
        <v>16.768514398345332</v>
      </c>
      <c r="CH45" s="9">
        <v>5.0563747882411768E-2</v>
      </c>
      <c r="CI45" s="9">
        <v>249.20939475166756</v>
      </c>
      <c r="CJ45" s="9">
        <v>13.983699453476286</v>
      </c>
      <c r="CK45" s="9">
        <v>23.099784937889215</v>
      </c>
      <c r="CL45" s="9">
        <v>27.132522762205078</v>
      </c>
      <c r="CM45" s="9">
        <v>592.91150000000005</v>
      </c>
      <c r="CN45" s="9">
        <v>219.88980000000001</v>
      </c>
      <c r="CO45" s="9">
        <v>690.80420000000004</v>
      </c>
      <c r="CP45" s="9">
        <v>3.7086000000000001</v>
      </c>
      <c r="CQ45" s="9">
        <v>592.91150000000005</v>
      </c>
      <c r="CR45" s="9">
        <v>64.049000000000007</v>
      </c>
      <c r="CS45" s="9">
        <v>4221</v>
      </c>
      <c r="CT45" s="9">
        <v>19</v>
      </c>
      <c r="CU45" s="9">
        <v>1.2</v>
      </c>
      <c r="CV45" s="9">
        <v>352.04820989760907</v>
      </c>
      <c r="CW45" s="9">
        <v>0.83</v>
      </c>
      <c r="CX45" s="9">
        <v>20.503507365484015</v>
      </c>
      <c r="CY45" s="9">
        <v>0.32484223638455756</v>
      </c>
      <c r="CZ45" s="9">
        <v>296.3301056994369</v>
      </c>
      <c r="DA45" s="9">
        <v>13.650426938384992</v>
      </c>
      <c r="DB45" s="9">
        <v>4.1855044261480394</v>
      </c>
      <c r="DC45" s="9">
        <v>41.156074523925781</v>
      </c>
      <c r="DD45" s="9">
        <v>91</v>
      </c>
      <c r="DE45" s="9">
        <v>96</v>
      </c>
      <c r="DF45" s="9">
        <v>128</v>
      </c>
      <c r="DG45" s="9">
        <v>80</v>
      </c>
      <c r="DH45" s="9">
        <v>21</v>
      </c>
      <c r="DI45" s="9">
        <v>14</v>
      </c>
      <c r="DJ45" s="9">
        <v>72.150000000000006</v>
      </c>
      <c r="DK45" s="9">
        <v>40.15</v>
      </c>
      <c r="DL45" s="9">
        <v>21.58</v>
      </c>
      <c r="DM45" s="9">
        <v>21.97</v>
      </c>
      <c r="DN45" s="9">
        <f t="shared" si="28"/>
        <v>18.57</v>
      </c>
      <c r="DO45" s="9">
        <f t="shared" si="29"/>
        <v>0.53748443337484431</v>
      </c>
    </row>
    <row r="46" spans="1:119" x14ac:dyDescent="0.25">
      <c r="A46" s="12">
        <v>3</v>
      </c>
      <c r="B46" s="12">
        <v>15</v>
      </c>
      <c r="C46" s="14" t="s">
        <v>219</v>
      </c>
      <c r="D46" s="8" t="s">
        <v>222</v>
      </c>
      <c r="E46" s="8">
        <v>3</v>
      </c>
      <c r="F46" s="9">
        <v>38.200000000000003</v>
      </c>
      <c r="G46" s="9">
        <v>0</v>
      </c>
      <c r="H46" s="9">
        <v>3</v>
      </c>
      <c r="I46" s="9">
        <v>19.5</v>
      </c>
      <c r="J46" s="9">
        <v>0.5</v>
      </c>
      <c r="K46" s="9">
        <v>7.9</v>
      </c>
      <c r="L46" s="9">
        <v>0.32</v>
      </c>
      <c r="M46" s="9">
        <v>0.49099999999999999</v>
      </c>
      <c r="N46" s="9">
        <v>0.187</v>
      </c>
      <c r="O46" s="9">
        <v>0.10299999999999999</v>
      </c>
      <c r="P46" s="9">
        <v>6.7000000000000004E-2</v>
      </c>
      <c r="Q46" s="9">
        <v>15.032127164118082</v>
      </c>
      <c r="R46" s="9">
        <v>0.21870622655892963</v>
      </c>
      <c r="S46" s="9">
        <v>234.62733736669225</v>
      </c>
      <c r="T46" s="9">
        <v>4.4149159277807009</v>
      </c>
      <c r="U46" s="9">
        <v>1.998830960545616</v>
      </c>
      <c r="V46" s="9">
        <v>27.571603775024414</v>
      </c>
      <c r="W46" s="9">
        <v>280.3809</v>
      </c>
      <c r="X46" s="9">
        <v>17.7773</v>
      </c>
      <c r="Y46" s="9">
        <v>48.863999999999997</v>
      </c>
      <c r="Z46" s="9">
        <v>0.35680000000000001</v>
      </c>
      <c r="AA46" s="9">
        <v>313.00409999999999</v>
      </c>
      <c r="AB46" s="9">
        <v>0.60699999999999998</v>
      </c>
      <c r="AC46" s="9">
        <v>1028</v>
      </c>
      <c r="AD46" s="9">
        <v>56.7</v>
      </c>
      <c r="AE46" s="9">
        <v>24</v>
      </c>
      <c r="AF46" s="9">
        <v>70</v>
      </c>
      <c r="AG46" s="9">
        <v>38.5</v>
      </c>
      <c r="AH46" s="9">
        <v>29.9</v>
      </c>
      <c r="AI46" s="9">
        <v>1</v>
      </c>
      <c r="AJ46" s="9">
        <v>0.8</v>
      </c>
      <c r="AK46" s="9">
        <v>257.39999999999998</v>
      </c>
      <c r="AL46" s="9">
        <v>227.8</v>
      </c>
      <c r="AM46" s="9">
        <v>0.82</v>
      </c>
      <c r="AN46" s="9">
        <v>0.82</v>
      </c>
      <c r="AO46" s="9">
        <v>30.34</v>
      </c>
      <c r="AP46" s="9">
        <v>14.242000000000001</v>
      </c>
      <c r="AQ46" s="9">
        <v>10.689</v>
      </c>
      <c r="AR46" s="9">
        <v>3.617</v>
      </c>
      <c r="AS46" s="9">
        <v>20.440848257252107</v>
      </c>
      <c r="AT46" s="9">
        <v>5.8824124864213526E-2</v>
      </c>
      <c r="AU46" s="9">
        <v>242.05900160012843</v>
      </c>
      <c r="AV46" s="9">
        <v>16.857517337017619</v>
      </c>
      <c r="AW46" s="9">
        <v>23.86975953339121</v>
      </c>
      <c r="AX46" s="9">
        <v>30.559243775024413</v>
      </c>
      <c r="AY46" s="9">
        <v>13.362676805481817</v>
      </c>
      <c r="AZ46" s="9">
        <v>4.1646056783602878E-2</v>
      </c>
      <c r="BA46" s="9">
        <v>247.98541106894314</v>
      </c>
      <c r="BB46" s="9">
        <v>12.051854440045652</v>
      </c>
      <c r="BC46" s="9">
        <v>24.044597975799551</v>
      </c>
      <c r="BD46" s="9">
        <v>25.617270452024414</v>
      </c>
      <c r="BE46" s="9">
        <f t="shared" ref="BE46:BK46" si="35">AVERAGE(BE44:BE45)</f>
        <v>252.11449999999996</v>
      </c>
      <c r="BF46" s="9">
        <f t="shared" si="35"/>
        <v>24.772666666666666</v>
      </c>
      <c r="BG46" s="9">
        <f t="shared" si="35"/>
        <v>88.45483333333334</v>
      </c>
      <c r="BH46" s="9">
        <f t="shared" si="35"/>
        <v>1.1241166666666667</v>
      </c>
      <c r="BI46" s="9">
        <f t="shared" si="35"/>
        <v>212.57553333333331</v>
      </c>
      <c r="BJ46" s="9">
        <f t="shared" si="35"/>
        <v>2.4010000000000002</v>
      </c>
      <c r="BK46" s="9">
        <f t="shared" si="35"/>
        <v>815.83333333333326</v>
      </c>
      <c r="BL46" s="9">
        <v>86.7</v>
      </c>
      <c r="BM46" s="9">
        <v>37</v>
      </c>
      <c r="BN46" s="9">
        <v>119</v>
      </c>
      <c r="BO46" s="9">
        <v>30.1</v>
      </c>
      <c r="BP46" s="9">
        <v>28.5</v>
      </c>
      <c r="BQ46" s="9">
        <v>1</v>
      </c>
      <c r="BR46" s="9">
        <v>0.8</v>
      </c>
      <c r="BS46" s="9">
        <v>386.37505713746452</v>
      </c>
      <c r="BT46" s="9">
        <v>347.47324037233329</v>
      </c>
      <c r="BU46" s="9">
        <v>0.84</v>
      </c>
      <c r="BV46" s="9">
        <v>0.82</v>
      </c>
      <c r="BW46" s="9">
        <v>61.651000000000003</v>
      </c>
      <c r="BX46" s="9">
        <v>35.966999999999999</v>
      </c>
      <c r="BY46" s="9">
        <v>18.751999999999999</v>
      </c>
      <c r="BZ46" s="9">
        <v>11.986000000000001</v>
      </c>
      <c r="CA46" s="9">
        <v>21.261611602938807</v>
      </c>
      <c r="CB46" s="9">
        <v>6.1999909497406726E-2</v>
      </c>
      <c r="CC46" s="9">
        <v>241.85138572246962</v>
      </c>
      <c r="CD46" s="9">
        <v>17.481350613097504</v>
      </c>
      <c r="CE46" s="9">
        <v>23.542206767642938</v>
      </c>
      <c r="CF46" s="9">
        <v>31.310670452024414</v>
      </c>
      <c r="CG46" s="9">
        <v>11.921655209064962</v>
      </c>
      <c r="CH46" s="9">
        <v>2.541236535560118E-2</v>
      </c>
      <c r="CI46" s="9">
        <v>183.54827211058412</v>
      </c>
      <c r="CJ46" s="9">
        <v>10.664751988507984</v>
      </c>
      <c r="CK46" s="9">
        <v>36.136600605854497</v>
      </c>
      <c r="CL46" s="9">
        <v>27.140274227048828</v>
      </c>
      <c r="CM46" s="9">
        <f>AVERAGE(CM44:CM45)</f>
        <v>599.92309999999998</v>
      </c>
      <c r="CN46" s="9">
        <v>318.2097</v>
      </c>
      <c r="CO46" s="9">
        <v>999.68529999999998</v>
      </c>
      <c r="CP46" s="9">
        <f>AVERAGE(CP44:CP45)</f>
        <v>3.9069500000000001</v>
      </c>
      <c r="CQ46" s="9">
        <f t="shared" ref="CQ46:CR46" si="36">AVERAGE(CQ44:CQ45)</f>
        <v>599.92309999999998</v>
      </c>
      <c r="CR46" s="9">
        <f t="shared" si="36"/>
        <v>72.193000000000012</v>
      </c>
      <c r="CS46" s="9">
        <v>4076</v>
      </c>
      <c r="CT46" s="9">
        <v>24.5</v>
      </c>
      <c r="CU46" s="9">
        <v>1.2</v>
      </c>
      <c r="CV46" s="9">
        <v>352.04820989760907</v>
      </c>
      <c r="CW46" s="9">
        <v>0.83</v>
      </c>
      <c r="CX46" s="9">
        <v>20.611022333688869</v>
      </c>
      <c r="CY46" s="9">
        <v>0.32333397341079606</v>
      </c>
      <c r="CZ46" s="9">
        <v>295.2632647530848</v>
      </c>
      <c r="DA46" s="9">
        <v>13.618379471348684</v>
      </c>
      <c r="DB46" s="9">
        <v>4.1936296369522461</v>
      </c>
      <c r="DC46" s="9">
        <v>41.171844482421875</v>
      </c>
      <c r="DD46" s="9">
        <v>91</v>
      </c>
      <c r="DE46" s="9">
        <v>96</v>
      </c>
      <c r="DF46" s="9">
        <v>128</v>
      </c>
      <c r="DG46" s="9">
        <v>74</v>
      </c>
      <c r="DH46" s="9">
        <v>19</v>
      </c>
      <c r="DI46" s="9">
        <v>14</v>
      </c>
      <c r="DJ46" s="9">
        <v>69.540000000000006</v>
      </c>
      <c r="DK46" s="9">
        <v>39.049999999999997</v>
      </c>
      <c r="DL46" s="9">
        <v>20.99</v>
      </c>
      <c r="DM46" s="9">
        <v>21.45</v>
      </c>
      <c r="DN46" s="9">
        <f t="shared" si="28"/>
        <v>18.059999999999999</v>
      </c>
      <c r="DO46" s="9">
        <f t="shared" si="29"/>
        <v>0.53751600512163888</v>
      </c>
    </row>
    <row r="47" spans="1:119" x14ac:dyDescent="0.25">
      <c r="A47" s="12">
        <v>4</v>
      </c>
      <c r="B47" s="12">
        <v>1</v>
      </c>
      <c r="C47" s="14" t="s">
        <v>202</v>
      </c>
      <c r="D47" s="8" t="s">
        <v>223</v>
      </c>
      <c r="E47" s="8">
        <v>1</v>
      </c>
      <c r="F47" s="9">
        <v>35.5</v>
      </c>
      <c r="G47" s="9">
        <v>0</v>
      </c>
      <c r="H47" s="9">
        <v>4</v>
      </c>
      <c r="I47" s="9">
        <v>22.2</v>
      </c>
      <c r="J47" s="9">
        <v>0.35</v>
      </c>
      <c r="K47" s="9">
        <v>21.8</v>
      </c>
      <c r="L47" s="9">
        <v>0.2</v>
      </c>
      <c r="M47" s="9">
        <v>0.42399999999999999</v>
      </c>
      <c r="N47" s="9">
        <v>0.215</v>
      </c>
      <c r="O47" s="9">
        <v>0.16500000000000001</v>
      </c>
      <c r="P47" s="9">
        <v>9.5000000000000001E-2</v>
      </c>
      <c r="Q47" s="9">
        <v>11.628212597645494</v>
      </c>
      <c r="R47" s="9">
        <v>0.27019949868368509</v>
      </c>
      <c r="S47" s="9">
        <v>244.86337763993492</v>
      </c>
      <c r="T47" s="9">
        <v>4.529587963959778</v>
      </c>
      <c r="U47" s="9">
        <v>1.6651233391861004</v>
      </c>
      <c r="V47" s="9">
        <v>29.83372688293457</v>
      </c>
      <c r="W47" s="9">
        <v>135.56309999999999</v>
      </c>
      <c r="X47" s="9">
        <v>5.8338999999999999</v>
      </c>
      <c r="Y47" s="9">
        <v>18.3279</v>
      </c>
      <c r="Z47" s="9">
        <v>0.43030000000000002</v>
      </c>
      <c r="AA47" s="9">
        <v>135.56309999999999</v>
      </c>
      <c r="AB47" s="9">
        <v>0.19700000000000001</v>
      </c>
      <c r="AC47" s="9">
        <v>595</v>
      </c>
      <c r="AD47" s="9">
        <v>50.4</v>
      </c>
      <c r="AE47" s="9">
        <v>6</v>
      </c>
      <c r="AF47" s="9">
        <v>12</v>
      </c>
      <c r="AG47" s="9">
        <v>34</v>
      </c>
      <c r="AH47" s="9">
        <v>29.7</v>
      </c>
      <c r="AI47" s="9">
        <v>0.8</v>
      </c>
      <c r="AJ47" s="9">
        <v>0.8</v>
      </c>
      <c r="AK47" s="9">
        <v>190.5</v>
      </c>
      <c r="AL47" s="9">
        <v>121.6</v>
      </c>
      <c r="AM47" s="9">
        <v>0.7</v>
      </c>
      <c r="AN47" s="9">
        <v>0.62</v>
      </c>
      <c r="AO47" s="9">
        <v>4.6189999999999998</v>
      </c>
      <c r="AP47" s="9">
        <v>1.722</v>
      </c>
      <c r="AQ47" s="9">
        <v>9.43</v>
      </c>
      <c r="AR47" s="9">
        <v>3.28</v>
      </c>
      <c r="AS47" s="9">
        <v>12.251842910783235</v>
      </c>
      <c r="AT47" s="9">
        <v>2.0989383045972122E-2</v>
      </c>
      <c r="AU47" s="9">
        <v>290.96112217714449</v>
      </c>
      <c r="AV47" s="9">
        <v>4.6895894230082922</v>
      </c>
      <c r="AW47" s="9">
        <v>19.381871859803759</v>
      </c>
      <c r="AX47" s="9">
        <v>32.821366882934569</v>
      </c>
      <c r="AY47" s="9">
        <v>5.0208429613415584</v>
      </c>
      <c r="AZ47" s="9">
        <v>1.687396473455402E-2</v>
      </c>
      <c r="BA47" s="9">
        <v>290.41293013629758</v>
      </c>
      <c r="BB47" s="9">
        <v>3.9126851634666213</v>
      </c>
      <c r="BC47" s="9">
        <v>20.659778916185939</v>
      </c>
      <c r="BD47" s="9">
        <v>27.87939355993457</v>
      </c>
      <c r="BE47" s="9">
        <v>765.78620000000001</v>
      </c>
      <c r="BF47" s="9">
        <v>98.127200000000002</v>
      </c>
      <c r="BG47" s="9">
        <v>308.2758</v>
      </c>
      <c r="BH47" s="9">
        <v>1.2814000000000001</v>
      </c>
      <c r="BI47" s="9">
        <v>765.78620000000001</v>
      </c>
      <c r="BJ47" s="9">
        <v>9.8759999999999994</v>
      </c>
      <c r="BK47" s="9">
        <v>2705</v>
      </c>
      <c r="BL47" s="9">
        <v>85.6</v>
      </c>
      <c r="BM47" s="9">
        <v>9</v>
      </c>
      <c r="BN47" s="9">
        <v>32</v>
      </c>
      <c r="BO47" s="9">
        <v>23.5</v>
      </c>
      <c r="BP47" s="9">
        <v>32.700000000000003</v>
      </c>
      <c r="BQ47" s="9">
        <v>1</v>
      </c>
      <c r="BR47" s="9">
        <v>1</v>
      </c>
      <c r="BS47" s="9">
        <v>253.52188527721665</v>
      </c>
      <c r="BT47" s="9">
        <v>59.02710582420913</v>
      </c>
      <c r="BU47" s="9">
        <v>0.75</v>
      </c>
      <c r="BV47" s="9">
        <v>0.71</v>
      </c>
      <c r="BW47" s="9">
        <v>40.697000000000003</v>
      </c>
      <c r="BX47" s="9">
        <v>25.611999999999998</v>
      </c>
      <c r="BY47" s="9">
        <v>12.345000000000001</v>
      </c>
      <c r="BZ47" s="9">
        <v>9.1639999999999997</v>
      </c>
      <c r="CA47" s="9">
        <v>24.86641941923947</v>
      </c>
      <c r="CB47" s="9">
        <v>0.34470695949812241</v>
      </c>
      <c r="CC47" s="9">
        <v>379.90992246391386</v>
      </c>
      <c r="CD47" s="9">
        <v>12.373248177246086</v>
      </c>
      <c r="CE47" s="9">
        <v>3.5963923143370926</v>
      </c>
      <c r="CF47" s="9">
        <v>33.572793559934567</v>
      </c>
      <c r="CG47" s="9">
        <v>13.315780024836076</v>
      </c>
      <c r="CH47" s="9">
        <v>0.12688979459878008</v>
      </c>
      <c r="CI47" s="9">
        <v>391.9995785709981</v>
      </c>
      <c r="CJ47" s="9">
        <v>5.7334177287743806</v>
      </c>
      <c r="CK47" s="9">
        <v>4.3174561372888318</v>
      </c>
      <c r="CL47" s="9">
        <v>31.66452044286914</v>
      </c>
      <c r="CM47" s="9">
        <v>776.32479999999998</v>
      </c>
      <c r="CN47" s="9">
        <v>130.09440000000001</v>
      </c>
      <c r="CO47" s="9">
        <v>408.70359999999999</v>
      </c>
      <c r="CP47" s="9">
        <v>1.6758</v>
      </c>
      <c r="CQ47" s="9">
        <v>776.32479999999998</v>
      </c>
      <c r="CR47" s="9">
        <v>17.122</v>
      </c>
      <c r="CS47" s="9">
        <f>AVERAGE(CS48:CS49)</f>
        <v>4765</v>
      </c>
      <c r="CT47" s="9">
        <v>17</v>
      </c>
      <c r="CU47" s="9">
        <v>1</v>
      </c>
      <c r="CV47" s="9">
        <v>301.92235798341517</v>
      </c>
      <c r="CW47" s="9">
        <v>0.82</v>
      </c>
      <c r="CX47" s="9">
        <v>20.048528166237293</v>
      </c>
      <c r="CY47" s="9">
        <v>0.3195239050801707</v>
      </c>
      <c r="CZ47" s="9">
        <v>299.68221637936585</v>
      </c>
      <c r="DA47" s="9">
        <v>13.09765348638444</v>
      </c>
      <c r="DB47" s="9">
        <v>4.0722914313838343</v>
      </c>
      <c r="DC47" s="9">
        <v>40.810127258300781</v>
      </c>
      <c r="DD47" s="9">
        <v>82</v>
      </c>
      <c r="DE47" s="9">
        <v>87</v>
      </c>
      <c r="DF47" s="9">
        <v>118</v>
      </c>
      <c r="DG47" s="9">
        <v>104</v>
      </c>
      <c r="DH47" s="9">
        <v>4</v>
      </c>
      <c r="DI47" s="9">
        <v>3</v>
      </c>
      <c r="DJ47" s="9">
        <v>47.21</v>
      </c>
      <c r="DK47" s="9">
        <v>24.65</v>
      </c>
      <c r="DL47" s="9">
        <v>7.11</v>
      </c>
      <c r="DM47" s="9">
        <v>15.112</v>
      </c>
      <c r="DN47" s="9">
        <f t="shared" si="28"/>
        <v>17.54</v>
      </c>
      <c r="DO47" s="9">
        <f t="shared" si="29"/>
        <v>0.28843813387423939</v>
      </c>
    </row>
    <row r="48" spans="1:119" x14ac:dyDescent="0.25">
      <c r="A48" s="12">
        <v>5</v>
      </c>
      <c r="B48" s="12">
        <v>1</v>
      </c>
      <c r="C48" s="14" t="s">
        <v>202</v>
      </c>
      <c r="D48" s="8" t="s">
        <v>223</v>
      </c>
      <c r="E48" s="8">
        <v>2</v>
      </c>
      <c r="F48" s="9">
        <v>35.5</v>
      </c>
      <c r="G48" s="9">
        <v>0</v>
      </c>
      <c r="H48" s="9">
        <v>3</v>
      </c>
      <c r="I48" s="15">
        <v>22.2</v>
      </c>
      <c r="J48" s="9">
        <v>0.35</v>
      </c>
      <c r="K48" s="9">
        <v>15.3</v>
      </c>
      <c r="L48" s="9">
        <v>0.1</v>
      </c>
      <c r="M48" s="9">
        <v>0.26600000000000001</v>
      </c>
      <c r="N48" s="9">
        <v>0.11600000000000001</v>
      </c>
      <c r="O48" s="9">
        <v>7.5999999999999998E-2</v>
      </c>
      <c r="P48" s="9">
        <v>4.2000000000000003E-2</v>
      </c>
      <c r="Q48" s="9">
        <v>12.108297223379594</v>
      </c>
      <c r="R48" s="9">
        <v>0.27583184961574531</v>
      </c>
      <c r="S48" s="9">
        <v>243.26840046819524</v>
      </c>
      <c r="T48" s="9">
        <v>4.6019792964589339</v>
      </c>
      <c r="U48" s="9">
        <v>1.6590341282681202</v>
      </c>
      <c r="V48" s="9">
        <v>29.816787719726563</v>
      </c>
      <c r="W48" s="9">
        <v>80.646799999999999</v>
      </c>
      <c r="X48" s="9">
        <v>3.7145000000000001</v>
      </c>
      <c r="Y48" s="9">
        <v>11.6693</v>
      </c>
      <c r="Z48" s="9">
        <v>0.46060000000000001</v>
      </c>
      <c r="AA48" s="9">
        <v>80.646799999999999</v>
      </c>
      <c r="AB48" s="9">
        <v>0.13400000000000001</v>
      </c>
      <c r="AC48" s="9">
        <v>668</v>
      </c>
      <c r="AD48" s="9">
        <v>50.1</v>
      </c>
      <c r="AE48" s="9">
        <v>6</v>
      </c>
      <c r="AF48" s="9">
        <v>15</v>
      </c>
      <c r="AG48" s="9">
        <v>33.700000000000003</v>
      </c>
      <c r="AH48" s="9">
        <v>30.8</v>
      </c>
      <c r="AI48" s="9">
        <v>1</v>
      </c>
      <c r="AJ48" s="9">
        <v>0.8</v>
      </c>
      <c r="AK48" s="9">
        <v>175.1</v>
      </c>
      <c r="AL48" s="9">
        <v>142.1</v>
      </c>
      <c r="AM48" s="9">
        <v>0.71</v>
      </c>
      <c r="AN48" s="9">
        <v>0.62</v>
      </c>
      <c r="AO48" s="9">
        <v>5.5129999999999999</v>
      </c>
      <c r="AP48" s="9">
        <v>1.5680000000000001</v>
      </c>
      <c r="AQ48" s="9">
        <v>8.4600000000000009</v>
      </c>
      <c r="AR48" s="9">
        <v>2.57</v>
      </c>
      <c r="AS48" s="9">
        <v>15.839296018373158</v>
      </c>
      <c r="AT48" s="9">
        <v>2.8537493512916467E-2</v>
      </c>
      <c r="AU48" s="9">
        <v>286.98348283608186</v>
      </c>
      <c r="AV48" s="9">
        <v>5.9728756635498694</v>
      </c>
      <c r="AW48" s="9">
        <v>19.058474032050277</v>
      </c>
      <c r="AX48" s="9">
        <v>32.804427719726561</v>
      </c>
      <c r="AY48" s="9">
        <v>9.388102533903993</v>
      </c>
      <c r="AZ48" s="9">
        <v>1.464367523985673E-2</v>
      </c>
      <c r="BA48" s="9">
        <v>295.41805967100692</v>
      </c>
      <c r="BB48" s="9">
        <v>3.1675842894590338</v>
      </c>
      <c r="BC48" s="9">
        <v>18.775465626242333</v>
      </c>
      <c r="BD48" s="9">
        <v>27.862454396726562</v>
      </c>
      <c r="BE48" s="9">
        <v>706.35119999999995</v>
      </c>
      <c r="BF48" s="9">
        <v>80.853200000000001</v>
      </c>
      <c r="BG48" s="9">
        <v>254.0078</v>
      </c>
      <c r="BH48" s="9">
        <v>1.1447000000000001</v>
      </c>
      <c r="BI48" s="9">
        <v>706.35119999999995</v>
      </c>
      <c r="BJ48" s="9">
        <v>7.2690000000000001</v>
      </c>
      <c r="BK48" s="9">
        <v>2386</v>
      </c>
      <c r="BL48" s="9">
        <v>67.3</v>
      </c>
      <c r="BM48" s="9">
        <v>8</v>
      </c>
      <c r="BN48" s="9">
        <v>33</v>
      </c>
      <c r="BO48" s="9">
        <v>28.5</v>
      </c>
      <c r="BP48" s="9">
        <v>33.5</v>
      </c>
      <c r="BQ48" s="9">
        <v>1</v>
      </c>
      <c r="BR48" s="9">
        <v>1</v>
      </c>
      <c r="BS48" s="9">
        <v>237.79100293805442</v>
      </c>
      <c r="BT48" s="9">
        <v>61.71203043097519</v>
      </c>
      <c r="BU48" s="9">
        <v>0.75</v>
      </c>
      <c r="BV48" s="9">
        <v>0.69</v>
      </c>
      <c r="BW48" s="9">
        <v>35.179000000000002</v>
      </c>
      <c r="BX48" s="9">
        <v>24.762</v>
      </c>
      <c r="BY48" s="9">
        <v>11.147</v>
      </c>
      <c r="BZ48" s="9">
        <v>9.952</v>
      </c>
      <c r="CA48" s="9">
        <v>22.790315732821746</v>
      </c>
      <c r="CB48" s="9">
        <v>0.2616773689439979</v>
      </c>
      <c r="CC48" s="9">
        <v>381.0173966022611</v>
      </c>
      <c r="CD48" s="9">
        <v>10.381841448910102</v>
      </c>
      <c r="CE48" s="9">
        <v>3.9032247610407453</v>
      </c>
      <c r="CF48" s="9">
        <v>33.555854396726559</v>
      </c>
      <c r="CG48" s="9">
        <v>13.943921628045379</v>
      </c>
      <c r="CH48" s="9">
        <v>0.12750055533796772</v>
      </c>
      <c r="CI48" s="9">
        <v>391.59909284576059</v>
      </c>
      <c r="CJ48" s="9">
        <v>5.6663569005730352</v>
      </c>
      <c r="CK48" s="9">
        <v>4.2484040504160898</v>
      </c>
      <c r="CL48" s="9">
        <v>31.630642116453124</v>
      </c>
      <c r="CM48" s="9">
        <v>1085.0997</v>
      </c>
      <c r="CN48" s="9">
        <v>187.55160000000001</v>
      </c>
      <c r="CO48" s="9">
        <v>337.88319999999999</v>
      </c>
      <c r="CP48" s="9">
        <v>1.9912000000000001</v>
      </c>
      <c r="CQ48" s="9">
        <v>785.09969999999998</v>
      </c>
      <c r="CR48" s="9">
        <v>83.372</v>
      </c>
      <c r="CS48" s="9">
        <v>4243</v>
      </c>
      <c r="CT48" s="9">
        <v>11.8</v>
      </c>
      <c r="CU48" s="9">
        <v>1</v>
      </c>
      <c r="CV48" s="9">
        <v>287.24091285736597</v>
      </c>
      <c r="CW48" s="9">
        <v>0.81</v>
      </c>
      <c r="CX48" s="9">
        <v>20.113741713253418</v>
      </c>
      <c r="CY48" s="9">
        <v>0.31927809073455932</v>
      </c>
      <c r="CZ48" s="9">
        <v>299.2559166959108</v>
      </c>
      <c r="DA48" s="9">
        <v>13.089820759992113</v>
      </c>
      <c r="DB48" s="9">
        <v>4.0727837785590681</v>
      </c>
      <c r="DC48" s="9">
        <v>40.810405731201172</v>
      </c>
      <c r="DD48" s="9">
        <v>82</v>
      </c>
      <c r="DE48" s="9">
        <v>87</v>
      </c>
      <c r="DF48" s="9">
        <v>118</v>
      </c>
      <c r="DG48" s="9">
        <v>89</v>
      </c>
      <c r="DH48" s="9">
        <v>4</v>
      </c>
      <c r="DI48" s="9">
        <v>3</v>
      </c>
      <c r="DJ48" s="9">
        <v>44.09</v>
      </c>
      <c r="DK48" s="9">
        <v>22.58</v>
      </c>
      <c r="DL48" s="9">
        <v>6.43</v>
      </c>
      <c r="DM48" s="9">
        <v>14.06</v>
      </c>
      <c r="DN48" s="9">
        <f t="shared" si="28"/>
        <v>16.149999999999999</v>
      </c>
      <c r="DO48" s="9">
        <f t="shared" si="29"/>
        <v>0.28476527900797166</v>
      </c>
    </row>
    <row r="49" spans="1:119" x14ac:dyDescent="0.25">
      <c r="A49" s="12">
        <v>6</v>
      </c>
      <c r="B49" s="12">
        <v>1</v>
      </c>
      <c r="C49" s="14" t="s">
        <v>202</v>
      </c>
      <c r="D49" s="8" t="s">
        <v>223</v>
      </c>
      <c r="E49" s="8">
        <v>3</v>
      </c>
      <c r="F49" s="9">
        <v>35.5</v>
      </c>
      <c r="G49" s="9">
        <v>0</v>
      </c>
      <c r="H49" s="9">
        <v>4</v>
      </c>
      <c r="I49" s="9">
        <v>23</v>
      </c>
      <c r="J49" s="9">
        <v>0.4</v>
      </c>
      <c r="K49" s="9">
        <v>15.3</v>
      </c>
      <c r="L49" s="9">
        <v>0.2</v>
      </c>
      <c r="M49" s="9">
        <f>AVERAGE(M47:M48)</f>
        <v>0.34499999999999997</v>
      </c>
      <c r="N49" s="9">
        <v>0.25</v>
      </c>
      <c r="O49" s="9">
        <v>0.35399999999999998</v>
      </c>
      <c r="P49" s="9">
        <v>9.6000000000000002E-2</v>
      </c>
      <c r="Q49" s="9">
        <v>12.583523149956656</v>
      </c>
      <c r="R49" s="9">
        <v>0.27927918479331171</v>
      </c>
      <c r="S49" s="9">
        <v>241.21958455828707</v>
      </c>
      <c r="T49" s="9">
        <v>4.6476931162890844</v>
      </c>
      <c r="U49" s="9">
        <v>1.6559540935740653</v>
      </c>
      <c r="V49" s="9">
        <v>29.812736511230469</v>
      </c>
      <c r="W49" s="9">
        <v>148.1</v>
      </c>
      <c r="X49" s="9">
        <v>6.0244</v>
      </c>
      <c r="Y49" s="9">
        <v>18.926200000000001</v>
      </c>
      <c r="Z49" s="9">
        <v>0.40679999999999999</v>
      </c>
      <c r="AA49" s="9">
        <v>148.1</v>
      </c>
      <c r="AB49" s="9">
        <v>0.192</v>
      </c>
      <c r="AC49" s="9">
        <v>771</v>
      </c>
      <c r="AD49" s="9">
        <v>45.8</v>
      </c>
      <c r="AE49" s="9">
        <v>3</v>
      </c>
      <c r="AF49" s="9">
        <v>5</v>
      </c>
      <c r="AG49" s="9">
        <v>29.8</v>
      </c>
      <c r="AH49" s="9">
        <v>12.2</v>
      </c>
      <c r="AI49" s="9">
        <v>1</v>
      </c>
      <c r="AJ49" s="9">
        <v>0.3</v>
      </c>
      <c r="AK49" s="9">
        <v>173.7</v>
      </c>
      <c r="AL49" s="9">
        <v>113.7</v>
      </c>
      <c r="AM49" s="9">
        <v>0.68</v>
      </c>
      <c r="AN49" s="9">
        <v>0.61</v>
      </c>
      <c r="AO49" s="9">
        <v>2.931</v>
      </c>
      <c r="AP49" s="9">
        <v>0.99099999999999999</v>
      </c>
      <c r="AQ49" s="9">
        <v>4.32</v>
      </c>
      <c r="AR49" s="9">
        <v>1.34</v>
      </c>
      <c r="AS49" s="9">
        <v>23.878840296939053</v>
      </c>
      <c r="AT49" s="9">
        <v>3.8719538277862307E-2</v>
      </c>
      <c r="AU49" s="9">
        <v>276.71285452969323</v>
      </c>
      <c r="AV49" s="9">
        <v>8.577987618349848</v>
      </c>
      <c r="AW49" s="9">
        <v>19.06975565233126</v>
      </c>
      <c r="AX49" s="9">
        <v>32.800376511230468</v>
      </c>
      <c r="AY49" s="9">
        <v>12.415983489161558</v>
      </c>
      <c r="AZ49" s="9">
        <v>1.3824713560099941E-2</v>
      </c>
      <c r="BA49" s="9">
        <v>267.93148605558071</v>
      </c>
      <c r="BB49" s="9">
        <v>3.5860685316636305</v>
      </c>
      <c r="BC49" s="9">
        <v>22.489645217734491</v>
      </c>
      <c r="BD49" s="9">
        <v>27.858403188230469</v>
      </c>
      <c r="BE49" s="9">
        <f>AVERAGE(BE47:BE48)</f>
        <v>736.06870000000004</v>
      </c>
      <c r="BF49" s="9">
        <f t="shared" ref="BF49:BJ49" si="37">AVERAGE(BF47:BF48)</f>
        <v>89.490200000000002</v>
      </c>
      <c r="BG49" s="9">
        <f t="shared" si="37"/>
        <v>281.14179999999999</v>
      </c>
      <c r="BH49" s="9">
        <f t="shared" si="37"/>
        <v>1.21305</v>
      </c>
      <c r="BI49" s="9">
        <f t="shared" si="37"/>
        <v>736.06870000000004</v>
      </c>
      <c r="BJ49" s="9">
        <f t="shared" si="37"/>
        <v>8.5724999999999998</v>
      </c>
      <c r="BK49" s="9">
        <v>2191</v>
      </c>
      <c r="BL49" s="9">
        <v>73.2</v>
      </c>
      <c r="BM49" s="9">
        <v>8</v>
      </c>
      <c r="BN49" s="9">
        <v>29</v>
      </c>
      <c r="BO49" s="9">
        <v>23.5</v>
      </c>
      <c r="BP49" s="9">
        <v>6.6</v>
      </c>
      <c r="BQ49" s="9">
        <v>0.9</v>
      </c>
      <c r="BR49" s="9">
        <v>0.9</v>
      </c>
      <c r="BS49" s="9">
        <v>332.04652386333538</v>
      </c>
      <c r="BT49" s="9">
        <v>82.310552322171077</v>
      </c>
      <c r="BU49" s="9">
        <v>0.73</v>
      </c>
      <c r="BV49" s="9">
        <v>0.69</v>
      </c>
      <c r="BW49" s="9">
        <v>41.912999999999997</v>
      </c>
      <c r="BX49" s="9">
        <v>23.617000000000001</v>
      </c>
      <c r="BY49" s="9">
        <v>10.952</v>
      </c>
      <c r="BZ49" s="9">
        <v>9.2149999999999999</v>
      </c>
      <c r="CA49" s="9">
        <v>24.886504618817121</v>
      </c>
      <c r="CB49" s="9">
        <v>0.31571649798598606</v>
      </c>
      <c r="CC49" s="9">
        <v>377.89651758493943</v>
      </c>
      <c r="CD49" s="9">
        <v>12.145595844094705</v>
      </c>
      <c r="CE49" s="9">
        <v>3.8258739470615595</v>
      </c>
      <c r="CF49" s="9">
        <v>33.551803188230465</v>
      </c>
      <c r="CG49" s="9">
        <v>17.265682411615849</v>
      </c>
      <c r="CH49" s="9">
        <v>0.17878441082305488</v>
      </c>
      <c r="CI49" s="9">
        <v>388.77269024906411</v>
      </c>
      <c r="CJ49" s="9">
        <v>7.1571696394979636</v>
      </c>
      <c r="CK49" s="9">
        <v>3.874128498329366</v>
      </c>
      <c r="CL49" s="9">
        <v>31.622539699460937</v>
      </c>
      <c r="CM49" s="9">
        <v>786.84590000000003</v>
      </c>
      <c r="CN49" s="9">
        <v>223.78749999999999</v>
      </c>
      <c r="CO49" s="9">
        <f>AVERAGE(CO47:CO48)</f>
        <v>373.29340000000002</v>
      </c>
      <c r="CP49" s="9">
        <v>2.8441000000000001</v>
      </c>
      <c r="CQ49" s="9">
        <v>786.84590000000003</v>
      </c>
      <c r="CR49" s="9">
        <v>49.988999999999997</v>
      </c>
      <c r="CS49" s="9">
        <v>5287</v>
      </c>
      <c r="CT49" s="9">
        <v>15.1</v>
      </c>
      <c r="CU49" s="9">
        <v>0.9</v>
      </c>
      <c r="CV49" s="9">
        <v>275.61951264135126</v>
      </c>
      <c r="CW49" s="9">
        <v>0.81</v>
      </c>
      <c r="CX49" s="9">
        <v>20.055145339632922</v>
      </c>
      <c r="CY49" s="9">
        <v>0.31910432295300833</v>
      </c>
      <c r="CZ49" s="9">
        <v>299.54733411832211</v>
      </c>
      <c r="DA49" s="9">
        <v>13.081231620384841</v>
      </c>
      <c r="DB49" s="9">
        <v>4.0721904995190563</v>
      </c>
      <c r="DC49" s="9">
        <v>40.808280944824219</v>
      </c>
      <c r="DD49" s="9">
        <v>82</v>
      </c>
      <c r="DE49" s="9">
        <v>87</v>
      </c>
      <c r="DF49" s="9">
        <v>118</v>
      </c>
      <c r="DG49" s="9">
        <v>79</v>
      </c>
      <c r="DH49" s="9">
        <v>4</v>
      </c>
      <c r="DI49" s="9">
        <v>3</v>
      </c>
      <c r="DJ49" s="9">
        <v>42.63</v>
      </c>
      <c r="DK49" s="9">
        <v>21.06</v>
      </c>
      <c r="DL49" s="9">
        <v>5.13</v>
      </c>
      <c r="DM49" s="9">
        <v>13.59</v>
      </c>
      <c r="DN49" s="9">
        <f t="shared" si="28"/>
        <v>15.93</v>
      </c>
      <c r="DO49" s="9">
        <f t="shared" si="29"/>
        <v>0.24358974358974361</v>
      </c>
    </row>
    <row r="50" spans="1:119" x14ac:dyDescent="0.25">
      <c r="A50" s="12">
        <v>4</v>
      </c>
      <c r="B50" s="12">
        <v>2</v>
      </c>
      <c r="C50" s="14" t="s">
        <v>204</v>
      </c>
      <c r="D50" s="8" t="s">
        <v>223</v>
      </c>
      <c r="E50" s="8">
        <v>1</v>
      </c>
      <c r="F50" s="9">
        <v>27</v>
      </c>
      <c r="G50" s="9">
        <v>0</v>
      </c>
      <c r="H50" s="9">
        <v>4</v>
      </c>
      <c r="I50" s="9">
        <v>16.399999999999999</v>
      </c>
      <c r="J50" s="9">
        <v>0.5</v>
      </c>
      <c r="K50" s="9">
        <v>11.2</v>
      </c>
      <c r="L50" s="9">
        <v>0.4</v>
      </c>
      <c r="M50" s="9">
        <v>0.52300000000000002</v>
      </c>
      <c r="N50" s="9">
        <v>0.35</v>
      </c>
      <c r="O50" s="9">
        <v>0.127</v>
      </c>
      <c r="P50" s="9">
        <v>0.18099999999999999</v>
      </c>
      <c r="Q50" s="9">
        <v>11.934721863149655</v>
      </c>
      <c r="R50" s="9">
        <v>0.27976584383199649</v>
      </c>
      <c r="S50" s="9">
        <v>245.07300326285045</v>
      </c>
      <c r="T50" s="9">
        <v>4.7366224151689797</v>
      </c>
      <c r="U50" s="9">
        <v>1.6845438347623261</v>
      </c>
      <c r="V50" s="9">
        <v>29.939834594726563</v>
      </c>
      <c r="W50" s="9">
        <v>118.3524</v>
      </c>
      <c r="X50" s="9">
        <v>6.2430000000000003</v>
      </c>
      <c r="Y50" s="9">
        <v>19.613099999999999</v>
      </c>
      <c r="Z50" s="9">
        <v>0.52749999999999997</v>
      </c>
      <c r="AA50" s="9">
        <v>118.3524</v>
      </c>
      <c r="AB50" s="9">
        <v>0.25900000000000001</v>
      </c>
      <c r="AC50" s="9">
        <v>448</v>
      </c>
      <c r="AD50" s="9">
        <v>44.3</v>
      </c>
      <c r="AE50" s="9">
        <v>7</v>
      </c>
      <c r="AF50" s="9">
        <v>17</v>
      </c>
      <c r="AG50" s="9">
        <v>28.1</v>
      </c>
      <c r="AH50" s="9">
        <v>23.4</v>
      </c>
      <c r="AI50" s="9">
        <v>0.7</v>
      </c>
      <c r="AJ50" s="9">
        <v>0.6</v>
      </c>
      <c r="AK50" s="9">
        <v>334.7</v>
      </c>
      <c r="AL50" s="9">
        <v>210.7</v>
      </c>
      <c r="AM50" s="9">
        <v>0.75</v>
      </c>
      <c r="AN50" s="9">
        <v>0.71</v>
      </c>
      <c r="AO50" s="9">
        <v>7.0609999999999999</v>
      </c>
      <c r="AP50" s="9">
        <v>3.06</v>
      </c>
      <c r="AQ50" s="9">
        <v>7.5659999999999998</v>
      </c>
      <c r="AR50" s="9">
        <v>2.98</v>
      </c>
      <c r="AS50" s="9">
        <v>18.776385421514693</v>
      </c>
      <c r="AT50" s="9">
        <v>2.5590633299806743E-2</v>
      </c>
      <c r="AU50" s="9">
        <v>277.87608747968955</v>
      </c>
      <c r="AV50" s="9">
        <v>5.7938360211008657</v>
      </c>
      <c r="AW50" s="9">
        <v>19.508734406683136</v>
      </c>
      <c r="AX50" s="9">
        <v>32.927474594726561</v>
      </c>
      <c r="AY50" s="9">
        <v>3.7112218772607464</v>
      </c>
      <c r="AZ50" s="9">
        <v>9.0912467798298802E-3</v>
      </c>
      <c r="BA50" s="9">
        <v>250.11882260557223</v>
      </c>
      <c r="BB50" s="9">
        <v>2.8488279230644515</v>
      </c>
      <c r="BC50" s="9">
        <v>26.446643986977875</v>
      </c>
      <c r="BD50" s="9">
        <v>27.985501271726562</v>
      </c>
      <c r="BE50" s="9">
        <v>444.66019999999997</v>
      </c>
      <c r="BF50" s="9">
        <v>80.378399999999999</v>
      </c>
      <c r="BG50" s="9">
        <v>252.5163</v>
      </c>
      <c r="BH50" s="9">
        <v>1.8076000000000001</v>
      </c>
      <c r="BI50" s="9">
        <v>444.66019999999997</v>
      </c>
      <c r="BJ50" s="9">
        <v>11.411</v>
      </c>
      <c r="BK50" s="9">
        <v>1450</v>
      </c>
      <c r="BL50" s="9">
        <v>70.5</v>
      </c>
      <c r="BM50" s="9">
        <v>8</v>
      </c>
      <c r="BN50" s="9">
        <v>32</v>
      </c>
      <c r="BO50" s="9">
        <v>23</v>
      </c>
      <c r="BP50" s="9">
        <v>27.5</v>
      </c>
      <c r="BQ50" s="9">
        <v>0.8</v>
      </c>
      <c r="BR50" s="9">
        <v>1</v>
      </c>
      <c r="BS50" s="9">
        <v>255.24700111142118</v>
      </c>
      <c r="BT50" s="9">
        <v>176.35212075207826</v>
      </c>
      <c r="BU50" s="9">
        <v>0.79</v>
      </c>
      <c r="BV50" s="9">
        <v>0.71</v>
      </c>
      <c r="BW50" s="9">
        <v>40.691000000000003</v>
      </c>
      <c r="BX50" s="9">
        <v>25.111999999999998</v>
      </c>
      <c r="BY50" s="9">
        <v>11.25</v>
      </c>
      <c r="BZ50" s="9">
        <v>8.7539999999999996</v>
      </c>
      <c r="CA50" s="9">
        <v>19.638539885162128</v>
      </c>
      <c r="CB50" s="9">
        <v>0.18555181751488453</v>
      </c>
      <c r="CC50" s="9">
        <v>388.83230172054124</v>
      </c>
      <c r="CD50" s="9">
        <v>7.3567551915757265</v>
      </c>
      <c r="CE50" s="9">
        <v>3.8423015559409017</v>
      </c>
      <c r="CF50" s="9">
        <v>33.678901271726559</v>
      </c>
      <c r="CG50" s="9">
        <v>8.1481186373374062</v>
      </c>
      <c r="CH50" s="9">
        <v>6.9980999283109663E-2</v>
      </c>
      <c r="CI50" s="9">
        <v>402.0191965253307</v>
      </c>
      <c r="CJ50" s="9">
        <v>3.1397031040774612</v>
      </c>
      <c r="CK50" s="9">
        <v>4.2404318329157809</v>
      </c>
      <c r="CL50" s="9">
        <v>31.876735866453124</v>
      </c>
      <c r="CM50" s="9">
        <v>617.47299999999996</v>
      </c>
      <c r="CN50" s="9">
        <v>83.386899999999997</v>
      </c>
      <c r="CO50" s="9">
        <v>261.9676</v>
      </c>
      <c r="CP50" s="9">
        <v>1.3505</v>
      </c>
      <c r="CQ50" s="9">
        <v>617.47299999999996</v>
      </c>
      <c r="CR50" s="9">
        <v>82.843999999999994</v>
      </c>
      <c r="CS50" s="9">
        <f>AVERAGE(CS51:CS52)</f>
        <v>3420.75</v>
      </c>
      <c r="CT50" s="9">
        <v>16.8</v>
      </c>
      <c r="CU50" s="9">
        <v>1</v>
      </c>
      <c r="CV50" s="9">
        <v>270.58141863344827</v>
      </c>
      <c r="CW50" s="9">
        <v>0.83</v>
      </c>
      <c r="CX50" s="9">
        <v>21.54717823559908</v>
      </c>
      <c r="CY50" s="9">
        <v>0.29374255828163148</v>
      </c>
      <c r="CZ50" s="9">
        <v>281.96178696139441</v>
      </c>
      <c r="DA50" s="9">
        <v>13.218446263548547</v>
      </c>
      <c r="DB50" s="9">
        <v>4.4326328125661973</v>
      </c>
      <c r="DC50" s="9">
        <v>41.457424163818359</v>
      </c>
      <c r="DD50" s="9">
        <v>88</v>
      </c>
      <c r="DE50" s="9">
        <v>94</v>
      </c>
      <c r="DF50" s="9">
        <v>122</v>
      </c>
      <c r="DG50" s="9">
        <v>78</v>
      </c>
      <c r="DH50" s="9">
        <v>15</v>
      </c>
      <c r="DI50" s="9">
        <v>9</v>
      </c>
      <c r="DJ50" s="9">
        <v>38.67</v>
      </c>
      <c r="DK50" s="9">
        <v>28.08</v>
      </c>
      <c r="DL50" s="9">
        <v>13.164999999999999</v>
      </c>
      <c r="DM50" s="9">
        <v>17.117999999999999</v>
      </c>
      <c r="DN50" s="9">
        <f t="shared" si="28"/>
        <v>14.914999999999999</v>
      </c>
      <c r="DO50" s="9">
        <f t="shared" si="29"/>
        <v>0.46883903133903132</v>
      </c>
    </row>
    <row r="51" spans="1:119" x14ac:dyDescent="0.25">
      <c r="A51" s="12">
        <v>5</v>
      </c>
      <c r="B51" s="12">
        <v>2</v>
      </c>
      <c r="C51" s="14" t="s">
        <v>204</v>
      </c>
      <c r="D51" s="8" t="s">
        <v>223</v>
      </c>
      <c r="E51" s="8">
        <v>2</v>
      </c>
      <c r="F51" s="9">
        <v>32.799999999999997</v>
      </c>
      <c r="G51" s="9">
        <v>0</v>
      </c>
      <c r="H51" s="9">
        <v>4</v>
      </c>
      <c r="I51" s="9">
        <v>22</v>
      </c>
      <c r="J51" s="9">
        <v>0.5</v>
      </c>
      <c r="K51" s="9">
        <v>14.9</v>
      </c>
      <c r="L51" s="9">
        <v>0.1</v>
      </c>
      <c r="M51" s="9">
        <v>0.44900000000000001</v>
      </c>
      <c r="N51" s="9">
        <v>0.39</v>
      </c>
      <c r="O51" s="9">
        <v>0.151</v>
      </c>
      <c r="P51" s="9">
        <v>0.191</v>
      </c>
      <c r="Q51" s="9">
        <v>11.872181626034198</v>
      </c>
      <c r="R51" s="9">
        <v>0.28465951979226589</v>
      </c>
      <c r="S51" s="9">
        <v>246.60186376545042</v>
      </c>
      <c r="T51" s="9">
        <v>4.8139866322429681</v>
      </c>
      <c r="U51" s="9">
        <v>1.6842027200860046</v>
      </c>
      <c r="V51" s="9">
        <v>29.948740005493164</v>
      </c>
      <c r="W51" s="9">
        <v>114.694</v>
      </c>
      <c r="X51" s="9">
        <v>5.2781000000000002</v>
      </c>
      <c r="Y51" s="9">
        <v>16.581499999999998</v>
      </c>
      <c r="Z51" s="9">
        <v>0.4602</v>
      </c>
      <c r="AA51" s="9">
        <v>114.694</v>
      </c>
      <c r="AB51" s="9">
        <v>0.191</v>
      </c>
      <c r="AC51" s="9">
        <v>396</v>
      </c>
      <c r="AD51" s="9">
        <v>48.3</v>
      </c>
      <c r="AE51" s="9">
        <v>8</v>
      </c>
      <c r="AF51" s="9">
        <v>23</v>
      </c>
      <c r="AG51" s="9">
        <v>32.200000000000003</v>
      </c>
      <c r="AH51" s="9">
        <v>28.3</v>
      </c>
      <c r="AI51" s="9">
        <v>0.9</v>
      </c>
      <c r="AJ51" s="9">
        <v>0.7</v>
      </c>
      <c r="AK51" s="9">
        <v>330.6</v>
      </c>
      <c r="AL51" s="9">
        <v>196.5</v>
      </c>
      <c r="AM51" s="9">
        <v>0.78</v>
      </c>
      <c r="AN51" s="9">
        <v>0.69</v>
      </c>
      <c r="AO51" s="9">
        <v>8.4209999999999994</v>
      </c>
      <c r="AP51" s="9">
        <v>2.5720000000000001</v>
      </c>
      <c r="AQ51" s="9">
        <v>9.4209999999999994</v>
      </c>
      <c r="AR51" s="9">
        <v>3.2989999999999999</v>
      </c>
      <c r="AS51" s="9">
        <v>21.79358693965111</v>
      </c>
      <c r="AT51" s="9">
        <v>2.4344223939874152E-2</v>
      </c>
      <c r="AU51" s="9">
        <v>240.41406751285035</v>
      </c>
      <c r="AV51" s="9">
        <v>7.4139302328998031</v>
      </c>
      <c r="AW51" s="9">
        <v>25.129000458251969</v>
      </c>
      <c r="AX51" s="9">
        <v>32.936380005493163</v>
      </c>
      <c r="AY51" s="9">
        <v>17.519067203807253</v>
      </c>
      <c r="AZ51" s="9">
        <v>2.7147013264477687E-2</v>
      </c>
      <c r="BA51" s="9">
        <v>275.55312885571499</v>
      </c>
      <c r="BB51" s="9">
        <v>6.3028656722004719</v>
      </c>
      <c r="BC51" s="9">
        <v>19.94908291138659</v>
      </c>
      <c r="BD51" s="9">
        <v>27.994406682493164</v>
      </c>
      <c r="BE51" s="9">
        <v>369.12909999999999</v>
      </c>
      <c r="BF51" s="9">
        <v>110.4663</v>
      </c>
      <c r="BG51" s="9">
        <v>347.04</v>
      </c>
      <c r="BH51" s="9">
        <v>2.9925999999999999</v>
      </c>
      <c r="BI51" s="9">
        <v>369.12909999999999</v>
      </c>
      <c r="BJ51" s="9">
        <v>25.963999999999999</v>
      </c>
      <c r="BK51" s="9">
        <v>1305</v>
      </c>
      <c r="BL51" s="9">
        <v>71.099999999999994</v>
      </c>
      <c r="BM51" s="9">
        <v>8</v>
      </c>
      <c r="BN51" s="9">
        <v>31</v>
      </c>
      <c r="BO51" s="9">
        <v>21.7</v>
      </c>
      <c r="BP51" s="9">
        <v>7.7</v>
      </c>
      <c r="BQ51" s="9">
        <v>0.8</v>
      </c>
      <c r="BR51" s="9">
        <v>1</v>
      </c>
      <c r="BS51" s="9">
        <v>316.33161421276441</v>
      </c>
      <c r="BT51" s="9">
        <v>180.27539552590744</v>
      </c>
      <c r="BU51" s="9">
        <v>0.79</v>
      </c>
      <c r="BV51" s="9">
        <v>0.69</v>
      </c>
      <c r="BW51" s="9">
        <v>38.174999999999997</v>
      </c>
      <c r="BX51" s="9">
        <v>23.574999999999999</v>
      </c>
      <c r="BY51" s="9">
        <v>12.975</v>
      </c>
      <c r="BZ51" s="9">
        <v>9.8620000000000001</v>
      </c>
      <c r="CA51" s="9">
        <v>20.906456010821394</v>
      </c>
      <c r="CB51" s="9">
        <v>0.21062544031543409</v>
      </c>
      <c r="CC51" s="9">
        <v>385.90917827629261</v>
      </c>
      <c r="CD51" s="9">
        <v>8.5286733849596708</v>
      </c>
      <c r="CE51" s="9">
        <v>3.9407381691688208</v>
      </c>
      <c r="CF51" s="9">
        <v>33.687806682493161</v>
      </c>
      <c r="CG51" s="9">
        <v>14.048947884018869</v>
      </c>
      <c r="CH51" s="9">
        <v>0.13524833184394569</v>
      </c>
      <c r="CI51" s="9">
        <v>394.55317881992323</v>
      </c>
      <c r="CJ51" s="9">
        <v>5.6865537771080339</v>
      </c>
      <c r="CK51" s="9">
        <v>4.0296678993280972</v>
      </c>
      <c r="CL51" s="9">
        <v>31.894546687986328</v>
      </c>
      <c r="CM51" s="9">
        <v>1021.2055</v>
      </c>
      <c r="CN51" s="9">
        <v>123.0103</v>
      </c>
      <c r="CO51" s="9">
        <v>386.44830000000002</v>
      </c>
      <c r="CP51" s="9">
        <v>1.2045999999999999</v>
      </c>
      <c r="CQ51" s="9">
        <v>821.20550000000003</v>
      </c>
      <c r="CR51" s="9">
        <v>110.63800000000001</v>
      </c>
      <c r="CS51" s="9">
        <v>3902</v>
      </c>
      <c r="CT51" s="9">
        <v>14.7</v>
      </c>
      <c r="CU51" s="9">
        <v>1</v>
      </c>
      <c r="CV51" s="9">
        <v>272.26472672178915</v>
      </c>
      <c r="CW51" s="9">
        <v>0.83</v>
      </c>
      <c r="CX51" s="9">
        <v>21.54717823559908</v>
      </c>
      <c r="CY51" s="9">
        <v>0.29374255828163148</v>
      </c>
      <c r="CZ51" s="9">
        <v>281.96178696139441</v>
      </c>
      <c r="DA51" s="9">
        <v>13.218446263548547</v>
      </c>
      <c r="DB51" s="9">
        <v>4.4326328125661973</v>
      </c>
      <c r="DC51" s="9">
        <v>41.457424163818359</v>
      </c>
      <c r="DD51" s="9">
        <v>88</v>
      </c>
      <c r="DE51" s="9">
        <v>94</v>
      </c>
      <c r="DF51" s="9">
        <v>122</v>
      </c>
      <c r="DG51" s="9">
        <v>75</v>
      </c>
      <c r="DH51" s="9">
        <v>10</v>
      </c>
      <c r="DI51" s="9">
        <v>5</v>
      </c>
      <c r="DJ51" s="9">
        <v>35.51</v>
      </c>
      <c r="DK51" s="9">
        <v>24.63</v>
      </c>
      <c r="DL51" s="9">
        <v>11.68</v>
      </c>
      <c r="DM51" s="9">
        <v>16.579999999999998</v>
      </c>
      <c r="DN51" s="9">
        <f t="shared" si="28"/>
        <v>12.95</v>
      </c>
      <c r="DO51" s="9">
        <f t="shared" si="29"/>
        <v>0.47421843280552173</v>
      </c>
    </row>
    <row r="52" spans="1:119" x14ac:dyDescent="0.25">
      <c r="A52" s="12">
        <v>6</v>
      </c>
      <c r="B52" s="12">
        <v>2</v>
      </c>
      <c r="C52" s="14" t="s">
        <v>204</v>
      </c>
      <c r="D52" s="8" t="s">
        <v>223</v>
      </c>
      <c r="E52" s="8">
        <v>3</v>
      </c>
      <c r="F52" s="9">
        <v>36.799999999999997</v>
      </c>
      <c r="G52" s="9">
        <v>0</v>
      </c>
      <c r="H52" s="9">
        <v>4</v>
      </c>
      <c r="I52" s="9">
        <v>22</v>
      </c>
      <c r="J52" s="9">
        <v>0.65</v>
      </c>
      <c r="K52" s="9">
        <f>AVERAGE(K50:K51)</f>
        <v>13.05</v>
      </c>
      <c r="L52" s="9">
        <v>0.6</v>
      </c>
      <c r="M52" s="9">
        <f>AVERAGE(M50:M51)</f>
        <v>0.48599999999999999</v>
      </c>
      <c r="N52" s="9">
        <v>0.42</v>
      </c>
      <c r="O52" s="9">
        <v>0.25700000000000001</v>
      </c>
      <c r="P52" s="9">
        <v>0.122</v>
      </c>
      <c r="Q52" s="9">
        <v>11.421598624607729</v>
      </c>
      <c r="R52" s="9">
        <v>0.25514256712310029</v>
      </c>
      <c r="S52" s="9">
        <v>240.46047722352736</v>
      </c>
      <c r="T52" s="9">
        <v>4.3792857719292888</v>
      </c>
      <c r="U52" s="9">
        <v>1.6993490787533392</v>
      </c>
      <c r="V52" s="9">
        <v>30.014665603637695</v>
      </c>
      <c r="W52" s="9">
        <v>132.0984</v>
      </c>
      <c r="X52" s="9">
        <v>8.7788000000000004</v>
      </c>
      <c r="Y52" s="9">
        <v>27.5794</v>
      </c>
      <c r="Z52" s="9">
        <v>0.66459999999999997</v>
      </c>
      <c r="AA52" s="9">
        <v>132.0984</v>
      </c>
      <c r="AB52" s="9">
        <v>0.45800000000000002</v>
      </c>
      <c r="AC52" s="9">
        <v>492</v>
      </c>
      <c r="AD52" s="9">
        <v>36.6</v>
      </c>
      <c r="AE52" s="9">
        <v>7</v>
      </c>
      <c r="AF52" s="9">
        <v>19</v>
      </c>
      <c r="AG52" s="9">
        <v>23.8</v>
      </c>
      <c r="AH52" s="9">
        <v>13.7</v>
      </c>
      <c r="AI52" s="9">
        <v>0.6</v>
      </c>
      <c r="AJ52" s="9">
        <v>0.3</v>
      </c>
      <c r="AK52" s="9">
        <v>362.1</v>
      </c>
      <c r="AL52" s="9">
        <v>236.4</v>
      </c>
      <c r="AM52" s="9">
        <v>0.72</v>
      </c>
      <c r="AN52" s="9">
        <v>0.68</v>
      </c>
      <c r="AO52" s="9">
        <v>4.3710000000000004</v>
      </c>
      <c r="AP52" s="9">
        <v>1.415</v>
      </c>
      <c r="AQ52" s="9">
        <v>4.3209999999999997</v>
      </c>
      <c r="AR52" s="9">
        <v>2.2509999999999999</v>
      </c>
      <c r="AS52" s="9">
        <v>17.782659130714954</v>
      </c>
      <c r="AT52" s="9">
        <v>1.9926641614912873E-2</v>
      </c>
      <c r="AU52" s="9">
        <v>243.69944009381371</v>
      </c>
      <c r="AV52" s="9">
        <v>5.8705159380069976</v>
      </c>
      <c r="AW52" s="9">
        <v>25.015341866392163</v>
      </c>
      <c r="AX52" s="9">
        <v>33.002305603637694</v>
      </c>
      <c r="AY52" s="9">
        <v>13.447974901265672</v>
      </c>
      <c r="AZ52" s="9">
        <v>2.4519691743983038E-2</v>
      </c>
      <c r="BA52" s="9">
        <v>270.07802141459194</v>
      </c>
      <c r="BB52" s="9">
        <v>5.990777486439784</v>
      </c>
      <c r="BC52" s="9">
        <v>21.529849259058757</v>
      </c>
      <c r="BD52" s="9">
        <v>28.060332280637695</v>
      </c>
      <c r="BE52" s="9">
        <v>459.12700000000001</v>
      </c>
      <c r="BF52" s="9">
        <v>32.558799999999998</v>
      </c>
      <c r="BG52" s="9">
        <v>102.2864</v>
      </c>
      <c r="BH52" s="9">
        <v>0.70909999999999995</v>
      </c>
      <c r="BI52" s="9">
        <v>459.12700000000001</v>
      </c>
      <c r="BJ52" s="9">
        <v>1.8129999999999999</v>
      </c>
      <c r="BK52" s="9">
        <v>1554</v>
      </c>
      <c r="BL52" s="9">
        <v>70.3</v>
      </c>
      <c r="BM52" s="9">
        <v>8</v>
      </c>
      <c r="BN52" s="9">
        <v>30</v>
      </c>
      <c r="BO52" s="9">
        <v>23.5</v>
      </c>
      <c r="BP52" s="9">
        <v>27.5</v>
      </c>
      <c r="BQ52" s="9">
        <v>0.8</v>
      </c>
      <c r="BR52" s="9">
        <v>1</v>
      </c>
      <c r="BS52" s="9">
        <v>335.15422333859686</v>
      </c>
      <c r="BT52" s="9">
        <v>189.95675088725588</v>
      </c>
      <c r="BU52" s="9">
        <v>0.76</v>
      </c>
      <c r="BV52" s="9">
        <v>0.71</v>
      </c>
      <c r="BW52" s="9">
        <v>39.347000000000001</v>
      </c>
      <c r="BX52" s="9">
        <v>21.954000000000001</v>
      </c>
      <c r="BY52" s="9">
        <v>11.215</v>
      </c>
      <c r="BZ52" s="9">
        <v>9.1430000000000007</v>
      </c>
      <c r="CA52" s="9">
        <v>23.025351699825347</v>
      </c>
      <c r="CB52" s="9">
        <v>0.2726342964352913</v>
      </c>
      <c r="CC52" s="9">
        <v>382.92400141518658</v>
      </c>
      <c r="CD52" s="9">
        <v>10.546266345315116</v>
      </c>
      <c r="CE52" s="9">
        <v>3.8124923586322539</v>
      </c>
      <c r="CF52" s="9">
        <v>33.753732280637692</v>
      </c>
      <c r="CG52" s="9">
        <v>13.01124400497091</v>
      </c>
      <c r="CH52" s="9">
        <v>0.13241472370692434</v>
      </c>
      <c r="CI52" s="9">
        <v>395.00422627438758</v>
      </c>
      <c r="CJ52" s="9">
        <v>5.6927125817517945</v>
      </c>
      <c r="CK52" s="9">
        <v>4.1157051306643568</v>
      </c>
      <c r="CL52" s="9">
        <v>32.02639788427539</v>
      </c>
      <c r="CM52" s="9">
        <v>819.33924999999999</v>
      </c>
      <c r="CN52" s="9">
        <v>103.1986</v>
      </c>
      <c r="CO52" s="9">
        <v>324.20794999999998</v>
      </c>
      <c r="CP52" s="9">
        <v>1.27755</v>
      </c>
      <c r="CQ52" s="9">
        <v>819.33924999999999</v>
      </c>
      <c r="CR52" s="9">
        <v>90.241</v>
      </c>
      <c r="CS52" s="9">
        <v>2939.5</v>
      </c>
      <c r="CT52" s="9">
        <v>15.1</v>
      </c>
      <c r="CU52" s="9">
        <v>1</v>
      </c>
      <c r="CV52" s="9">
        <v>268.89411570635895</v>
      </c>
      <c r="CW52" s="9">
        <v>0.83</v>
      </c>
      <c r="CX52" s="9">
        <v>21.490117979215697</v>
      </c>
      <c r="CY52" s="9">
        <v>0.29332703865824367</v>
      </c>
      <c r="CZ52" s="9">
        <v>282.13160400979041</v>
      </c>
      <c r="DA52" s="9">
        <v>13.204190119066434</v>
      </c>
      <c r="DB52" s="9">
        <v>4.4337548993791422</v>
      </c>
      <c r="DC52" s="9">
        <v>41.457710266113281</v>
      </c>
      <c r="DD52" s="9">
        <v>88</v>
      </c>
      <c r="DE52" s="9">
        <v>94</v>
      </c>
      <c r="DF52" s="9">
        <v>122</v>
      </c>
      <c r="DG52" s="9">
        <v>75</v>
      </c>
      <c r="DH52" s="9">
        <v>8</v>
      </c>
      <c r="DI52" s="9">
        <v>5</v>
      </c>
      <c r="DJ52" s="9">
        <v>32.67</v>
      </c>
      <c r="DK52" s="9">
        <v>20.58</v>
      </c>
      <c r="DL52" s="9">
        <v>10.57</v>
      </c>
      <c r="DM52" s="9">
        <v>16.05</v>
      </c>
      <c r="DN52" s="9">
        <f t="shared" si="28"/>
        <v>10.009999999999998</v>
      </c>
      <c r="DO52" s="9">
        <f t="shared" si="29"/>
        <v>0.51360544217687076</v>
      </c>
    </row>
    <row r="53" spans="1:119" x14ac:dyDescent="0.25">
      <c r="A53" s="12">
        <v>4</v>
      </c>
      <c r="B53" s="12">
        <v>3</v>
      </c>
      <c r="C53" s="14" t="s">
        <v>205</v>
      </c>
      <c r="D53" s="8" t="s">
        <v>223</v>
      </c>
      <c r="E53" s="8">
        <v>1</v>
      </c>
      <c r="F53" s="9">
        <v>33</v>
      </c>
      <c r="G53" s="9">
        <v>0</v>
      </c>
      <c r="H53" s="9">
        <v>3</v>
      </c>
      <c r="I53" s="9">
        <v>19.7</v>
      </c>
      <c r="J53" s="9">
        <v>0.5</v>
      </c>
      <c r="K53" s="9">
        <v>17.8</v>
      </c>
      <c r="L53" s="9">
        <v>0.1</v>
      </c>
      <c r="M53" s="9">
        <f>AVERAGE(M54:M55)</f>
        <v>0.2165</v>
      </c>
      <c r="N53" s="9">
        <v>0.26</v>
      </c>
      <c r="O53" s="9">
        <v>0.17499999999999999</v>
      </c>
      <c r="P53" s="9">
        <v>6.2E-2</v>
      </c>
      <c r="Q53" s="9">
        <v>11.421254107634699</v>
      </c>
      <c r="R53" s="9">
        <v>0.26091456200856067</v>
      </c>
      <c r="S53" s="9">
        <v>241.95119025920368</v>
      </c>
      <c r="T53" s="9">
        <v>4.4625044341028266</v>
      </c>
      <c r="U53" s="9">
        <v>1.6952552606309279</v>
      </c>
      <c r="V53" s="9">
        <v>30.009037017822266</v>
      </c>
      <c r="W53" s="9">
        <v>157.161</v>
      </c>
      <c r="X53" s="9">
        <v>7.99</v>
      </c>
      <c r="Y53" s="9">
        <v>25.101299999999998</v>
      </c>
      <c r="Z53" s="9">
        <v>0.50839999999999996</v>
      </c>
      <c r="AA53" s="9">
        <v>157.161</v>
      </c>
      <c r="AB53" s="9">
        <v>0.31900000000000001</v>
      </c>
      <c r="AC53" s="9">
        <v>622</v>
      </c>
      <c r="AD53" s="9">
        <v>40.4</v>
      </c>
      <c r="AE53" s="9">
        <v>7</v>
      </c>
      <c r="AF53" s="9">
        <v>15</v>
      </c>
      <c r="AG53" s="9">
        <v>24.8</v>
      </c>
      <c r="AH53" s="9">
        <v>26</v>
      </c>
      <c r="AI53" s="9">
        <v>0.8</v>
      </c>
      <c r="AJ53" s="9">
        <v>0.8</v>
      </c>
      <c r="AK53" s="9">
        <v>311.5</v>
      </c>
      <c r="AL53" s="9">
        <v>191.7</v>
      </c>
      <c r="AM53" s="9">
        <v>0.78</v>
      </c>
      <c r="AN53" s="9">
        <v>0.73</v>
      </c>
      <c r="AO53" s="9">
        <v>6.3319999999999999</v>
      </c>
      <c r="AP53" s="9">
        <v>2.2069999999999999</v>
      </c>
      <c r="AQ53" s="9">
        <v>6.3209999999999997</v>
      </c>
      <c r="AR53" s="9">
        <v>2.234</v>
      </c>
      <c r="AS53" s="9">
        <v>25.000333274089069</v>
      </c>
      <c r="AT53" s="9">
        <v>3.4676857789833496E-2</v>
      </c>
      <c r="AU53" s="9">
        <v>233.35442713834374</v>
      </c>
      <c r="AV53" s="9">
        <v>10.230461012579358</v>
      </c>
      <c r="AW53" s="9">
        <v>25.60648844431115</v>
      </c>
      <c r="AX53" s="9">
        <v>32.996677017822265</v>
      </c>
      <c r="AY53" s="9">
        <v>16.362584694631074</v>
      </c>
      <c r="AZ53" s="9">
        <v>2.0891135071829308E-2</v>
      </c>
      <c r="BA53" s="9">
        <v>237.94609958811839</v>
      </c>
      <c r="BB53" s="9">
        <v>6.4097217418809622</v>
      </c>
      <c r="BC53" s="9">
        <v>26.148295883430414</v>
      </c>
      <c r="BD53" s="9">
        <v>28.054703694822265</v>
      </c>
      <c r="BE53" s="9">
        <v>584.74130000000002</v>
      </c>
      <c r="BF53" s="9">
        <v>78.6828</v>
      </c>
      <c r="BG53" s="9">
        <v>247.1892</v>
      </c>
      <c r="BH53" s="9">
        <v>1.3455999999999999</v>
      </c>
      <c r="BI53" s="9">
        <v>584.74130000000002</v>
      </c>
      <c r="BJ53" s="9">
        <v>8.3149999999999995</v>
      </c>
      <c r="BK53" s="9">
        <v>2220</v>
      </c>
      <c r="BL53" s="9">
        <v>71</v>
      </c>
      <c r="BM53" s="9">
        <v>10</v>
      </c>
      <c r="BN53" s="9">
        <v>37</v>
      </c>
      <c r="BO53" s="9">
        <v>24.2</v>
      </c>
      <c r="BP53" s="9">
        <v>27.2</v>
      </c>
      <c r="BQ53" s="9">
        <v>0.7</v>
      </c>
      <c r="BR53" s="9">
        <v>0.8</v>
      </c>
      <c r="BS53" s="9">
        <v>288.88629951598534</v>
      </c>
      <c r="BT53" s="9">
        <v>115.43312148791645</v>
      </c>
      <c r="BU53" s="9">
        <v>0.79</v>
      </c>
      <c r="BV53" s="9">
        <v>0.73</v>
      </c>
      <c r="BW53" s="9">
        <v>31.626000000000001</v>
      </c>
      <c r="BX53" s="9">
        <v>25.675000000000001</v>
      </c>
      <c r="BY53" s="9">
        <v>15.612</v>
      </c>
      <c r="BZ53" s="9">
        <v>10.512</v>
      </c>
      <c r="CA53" s="9">
        <v>21.044346695098433</v>
      </c>
      <c r="CB53" s="9">
        <v>0.25252277728384387</v>
      </c>
      <c r="CC53" s="9">
        <v>392.12239115494299</v>
      </c>
      <c r="CD53" s="9">
        <v>9.4957832438375469</v>
      </c>
      <c r="CE53" s="9">
        <v>3.6932357122838999</v>
      </c>
      <c r="CF53" s="9">
        <v>33.748103694822262</v>
      </c>
      <c r="CG53" s="9">
        <v>14.869559930958275</v>
      </c>
      <c r="CH53" s="9">
        <v>0.13710404075537005</v>
      </c>
      <c r="CI53" s="9">
        <v>396.74419147459628</v>
      </c>
      <c r="CJ53" s="9">
        <v>5.5542242911861948</v>
      </c>
      <c r="CK53" s="9">
        <v>3.8908895031118247</v>
      </c>
      <c r="CL53" s="9">
        <v>32.015140712644531</v>
      </c>
      <c r="CM53" s="9">
        <v>1111.8686</v>
      </c>
      <c r="CN53" s="9">
        <v>182.04509999999999</v>
      </c>
      <c r="CO53" s="9">
        <v>571.91160000000002</v>
      </c>
      <c r="CP53" s="9">
        <v>1.6373</v>
      </c>
      <c r="CQ53" s="9">
        <v>1111.8686</v>
      </c>
      <c r="CR53" s="9">
        <f>AVERAGE(CR51:CR52)</f>
        <v>100.43950000000001</v>
      </c>
      <c r="CS53" s="9">
        <v>5510</v>
      </c>
      <c r="CT53" s="9">
        <v>21.5</v>
      </c>
      <c r="CU53" s="9">
        <v>0.8</v>
      </c>
      <c r="CV53" s="9">
        <v>260.39627504105778</v>
      </c>
      <c r="CW53" s="9">
        <v>0.82</v>
      </c>
      <c r="CX53" s="9">
        <v>15.489233880688834</v>
      </c>
      <c r="CY53" s="9">
        <v>0.26828381754413544</v>
      </c>
      <c r="CZ53" s="9">
        <v>316.41049708618368</v>
      </c>
      <c r="DA53" s="9">
        <v>11.334993820132642</v>
      </c>
      <c r="DB53" s="9">
        <v>4.1451816063751741</v>
      </c>
      <c r="DC53" s="9">
        <v>40.049507141113281</v>
      </c>
      <c r="DD53" s="9">
        <v>89</v>
      </c>
      <c r="DE53" s="9">
        <v>94</v>
      </c>
      <c r="DF53" s="9">
        <v>122</v>
      </c>
      <c r="DG53" s="9">
        <v>70</v>
      </c>
      <c r="DH53" s="9">
        <v>11</v>
      </c>
      <c r="DI53" s="9">
        <v>6</v>
      </c>
      <c r="DJ53" s="9">
        <v>39.76</v>
      </c>
      <c r="DK53" s="9">
        <v>23.97</v>
      </c>
      <c r="DL53" s="9">
        <v>10.15</v>
      </c>
      <c r="DM53" s="9">
        <v>14.12</v>
      </c>
      <c r="DN53" s="9">
        <f t="shared" si="28"/>
        <v>13.819999999999999</v>
      </c>
      <c r="DO53" s="9">
        <f t="shared" si="29"/>
        <v>0.4234459741343346</v>
      </c>
    </row>
    <row r="54" spans="1:119" x14ac:dyDescent="0.25">
      <c r="A54" s="12">
        <v>5</v>
      </c>
      <c r="B54" s="12">
        <v>3</v>
      </c>
      <c r="C54" s="14" t="s">
        <v>205</v>
      </c>
      <c r="D54" s="8" t="s">
        <v>223</v>
      </c>
      <c r="E54" s="8">
        <v>2</v>
      </c>
      <c r="F54" s="9">
        <v>28</v>
      </c>
      <c r="G54" s="9">
        <v>0</v>
      </c>
      <c r="H54" s="9">
        <v>3</v>
      </c>
      <c r="I54" s="9">
        <v>15</v>
      </c>
      <c r="J54" s="9">
        <v>0.1</v>
      </c>
      <c r="K54" s="9">
        <v>10.7</v>
      </c>
      <c r="L54" s="9">
        <v>0.1</v>
      </c>
      <c r="M54" s="9">
        <v>0.18</v>
      </c>
      <c r="N54" s="9">
        <v>0.215</v>
      </c>
      <c r="O54" s="9">
        <v>0.104</v>
      </c>
      <c r="P54" s="9">
        <v>4.4999999999999998E-2</v>
      </c>
      <c r="Q54" s="9">
        <v>11.736635734912371</v>
      </c>
      <c r="R54" s="9">
        <v>0.26704654060437311</v>
      </c>
      <c r="S54" s="9">
        <v>241.51282187642522</v>
      </c>
      <c r="T54" s="9">
        <v>4.5484141235273352</v>
      </c>
      <c r="U54" s="9">
        <v>1.6902553261666005</v>
      </c>
      <c r="V54" s="9">
        <v>29.998941421508789</v>
      </c>
      <c r="W54" s="9">
        <v>153.88290000000001</v>
      </c>
      <c r="X54" s="9">
        <v>5.6516999999999999</v>
      </c>
      <c r="Y54" s="9">
        <v>17.755400000000002</v>
      </c>
      <c r="Z54" s="9">
        <v>0.36730000000000002</v>
      </c>
      <c r="AA54" s="9">
        <v>153.88290000000001</v>
      </c>
      <c r="AB54" s="9">
        <v>0.16300000000000001</v>
      </c>
      <c r="AC54" s="9">
        <v>633</v>
      </c>
      <c r="AD54" s="9">
        <v>45.6</v>
      </c>
      <c r="AE54" s="9">
        <v>7</v>
      </c>
      <c r="AF54" s="9">
        <v>16</v>
      </c>
      <c r="AG54" s="9">
        <v>30.5</v>
      </c>
      <c r="AH54" s="9">
        <v>26.3</v>
      </c>
      <c r="AI54" s="9">
        <v>1</v>
      </c>
      <c r="AJ54" s="9">
        <v>0.7</v>
      </c>
      <c r="AK54" s="9">
        <v>306.8</v>
      </c>
      <c r="AL54" s="9">
        <v>207.5</v>
      </c>
      <c r="AM54" s="9">
        <v>0.7</v>
      </c>
      <c r="AN54" s="9">
        <v>0.68</v>
      </c>
      <c r="AO54" s="9">
        <v>8.1229999999999993</v>
      </c>
      <c r="AP54" s="9">
        <v>2.1190000000000002</v>
      </c>
      <c r="AQ54" s="9">
        <v>5.0039999999999996</v>
      </c>
      <c r="AR54" s="9">
        <v>1.9870000000000001</v>
      </c>
      <c r="AS54" s="9">
        <v>21.967712597263006</v>
      </c>
      <c r="AT54" s="9">
        <v>3.92537348300133E-2</v>
      </c>
      <c r="AU54" s="9">
        <v>263.42797714479894</v>
      </c>
      <c r="AV54" s="9">
        <v>9.4295037031009663</v>
      </c>
      <c r="AW54" s="9">
        <v>20.440348582490948</v>
      </c>
      <c r="AX54" s="9">
        <v>32.986581421508788</v>
      </c>
      <c r="AY54" s="9">
        <v>11.99225032305135</v>
      </c>
      <c r="AZ54" s="9">
        <v>1.3895674251162924E-2</v>
      </c>
      <c r="BA54" s="9">
        <v>218.46176661440467</v>
      </c>
      <c r="BB54" s="9">
        <v>5.0402871627838834</v>
      </c>
      <c r="BC54" s="9">
        <v>30.041650366440876</v>
      </c>
      <c r="BD54" s="9">
        <v>28.044608098508789</v>
      </c>
      <c r="BE54" s="9">
        <v>553.96579999999994</v>
      </c>
      <c r="BF54" s="9">
        <v>68.318200000000004</v>
      </c>
      <c r="BG54" s="9">
        <v>214.62799999999999</v>
      </c>
      <c r="BH54" s="9">
        <v>1.2333000000000001</v>
      </c>
      <c r="BI54" s="9">
        <v>553.96579999999994</v>
      </c>
      <c r="BJ54" s="9">
        <v>6.617</v>
      </c>
      <c r="BK54" s="9">
        <v>1834</v>
      </c>
      <c r="BL54" s="9">
        <v>72.599999999999994</v>
      </c>
      <c r="BM54" s="9">
        <v>10</v>
      </c>
      <c r="BN54" s="9">
        <v>38</v>
      </c>
      <c r="BO54" s="9">
        <v>25.1</v>
      </c>
      <c r="BP54" s="9">
        <v>26</v>
      </c>
      <c r="BQ54" s="9">
        <v>0.7</v>
      </c>
      <c r="BR54" s="9">
        <v>0.8</v>
      </c>
      <c r="BS54" s="9">
        <v>275.61951264135126</v>
      </c>
      <c r="BT54" s="9">
        <v>166.40886548466261</v>
      </c>
      <c r="BU54" s="9">
        <v>0.79</v>
      </c>
      <c r="BV54" s="9">
        <v>0.68</v>
      </c>
      <c r="BW54" s="9">
        <v>28.614000000000001</v>
      </c>
      <c r="BX54" s="9">
        <v>24.986999999999998</v>
      </c>
      <c r="BY54" s="9">
        <v>15.416</v>
      </c>
      <c r="BZ54" s="9">
        <v>9.5649999999999995</v>
      </c>
      <c r="CA54" s="9">
        <v>20.410713640154725</v>
      </c>
      <c r="CB54" s="9">
        <v>0.26850605720887366</v>
      </c>
      <c r="CC54" s="9">
        <v>390.30578943772116</v>
      </c>
      <c r="CD54" s="9">
        <v>9.6330146421634915</v>
      </c>
      <c r="CE54" s="9">
        <v>3.5443798755309714</v>
      </c>
      <c r="CF54" s="9">
        <v>33.738008098508786</v>
      </c>
      <c r="CG54" s="9">
        <v>16.280552046025626</v>
      </c>
      <c r="CH54" s="9">
        <v>0.17399415998335963</v>
      </c>
      <c r="CI54" s="9">
        <v>393.6633252091421</v>
      </c>
      <c r="CJ54" s="9">
        <v>7.0657026337927817</v>
      </c>
      <c r="CK54" s="9">
        <v>3.927283944488889</v>
      </c>
      <c r="CL54" s="9">
        <v>31.994949520017578</v>
      </c>
      <c r="CM54" s="9">
        <v>1443.2561000000001</v>
      </c>
      <c r="CN54" s="9">
        <v>147.744</v>
      </c>
      <c r="CO54" s="9">
        <v>464.15159999999997</v>
      </c>
      <c r="CP54" s="9">
        <v>1.0237000000000001</v>
      </c>
      <c r="CQ54" s="9">
        <v>1443.2561000000001</v>
      </c>
      <c r="CR54" s="9">
        <f>AVERAGE(CR55:CR56)</f>
        <v>67.683999999999997</v>
      </c>
      <c r="CS54" s="9">
        <v>4191</v>
      </c>
      <c r="CT54" s="9">
        <v>23.1</v>
      </c>
      <c r="CU54" s="9">
        <v>0.8</v>
      </c>
      <c r="CV54" s="9">
        <v>263.80784043568468</v>
      </c>
      <c r="CW54" s="9">
        <v>0.81</v>
      </c>
      <c r="CX54" s="9">
        <v>15.489233880688834</v>
      </c>
      <c r="CY54" s="9">
        <v>0.26828381754413544</v>
      </c>
      <c r="CZ54" s="9">
        <v>316.41049708618368</v>
      </c>
      <c r="DA54" s="9">
        <v>11.334993820132642</v>
      </c>
      <c r="DB54" s="9">
        <v>4.1451816063751741</v>
      </c>
      <c r="DC54" s="9">
        <v>40.049507141113281</v>
      </c>
      <c r="DD54" s="9">
        <v>89</v>
      </c>
      <c r="DE54" s="9">
        <v>94</v>
      </c>
      <c r="DF54" s="9">
        <v>122</v>
      </c>
      <c r="DG54" s="9">
        <v>67</v>
      </c>
      <c r="DH54" s="9">
        <v>10</v>
      </c>
      <c r="DI54" s="9">
        <v>5</v>
      </c>
      <c r="DJ54" s="9">
        <v>39.119999999999997</v>
      </c>
      <c r="DK54" s="9">
        <v>22.65</v>
      </c>
      <c r="DL54" s="9">
        <v>9.8699999999999992</v>
      </c>
      <c r="DM54" s="9">
        <v>13.98</v>
      </c>
      <c r="DN54" s="9">
        <f t="shared" si="28"/>
        <v>12.78</v>
      </c>
      <c r="DO54" s="9">
        <f t="shared" si="29"/>
        <v>0.43576158940397353</v>
      </c>
    </row>
    <row r="55" spans="1:119" x14ac:dyDescent="0.25">
      <c r="A55" s="12">
        <v>6</v>
      </c>
      <c r="B55" s="12">
        <v>3</v>
      </c>
      <c r="C55" s="14" t="s">
        <v>205</v>
      </c>
      <c r="D55" s="8" t="s">
        <v>223</v>
      </c>
      <c r="E55" s="8">
        <v>3</v>
      </c>
      <c r="F55" s="9">
        <v>31</v>
      </c>
      <c r="G55" s="9">
        <v>0</v>
      </c>
      <c r="H55" s="9">
        <v>3</v>
      </c>
      <c r="I55" s="9">
        <v>18.399999999999999</v>
      </c>
      <c r="J55" s="9">
        <v>0.2</v>
      </c>
      <c r="K55" s="9">
        <v>15.7</v>
      </c>
      <c r="L55" s="9">
        <v>0.15</v>
      </c>
      <c r="M55" s="9">
        <v>0.253</v>
      </c>
      <c r="N55" s="9">
        <v>0.21</v>
      </c>
      <c r="O55" s="9">
        <v>0.109</v>
      </c>
      <c r="P55" s="9">
        <v>0.11</v>
      </c>
      <c r="Q55" s="9">
        <v>11.882369010898906</v>
      </c>
      <c r="R55" s="9">
        <v>0.27183435370448727</v>
      </c>
      <c r="S55" s="9">
        <v>241.82736429360102</v>
      </c>
      <c r="T55" s="9">
        <v>4.619436767087592</v>
      </c>
      <c r="U55" s="9">
        <v>1.687980273879881</v>
      </c>
      <c r="V55" s="9">
        <v>29.999029159545898</v>
      </c>
      <c r="W55" s="9">
        <v>116.07259999999999</v>
      </c>
      <c r="X55" s="9">
        <v>5.4812000000000003</v>
      </c>
      <c r="Y55" s="9">
        <v>17.2197</v>
      </c>
      <c r="Z55" s="9">
        <v>0.47220000000000001</v>
      </c>
      <c r="AA55" s="9">
        <v>116.07259999999999</v>
      </c>
      <c r="AB55" s="9">
        <v>0.20300000000000001</v>
      </c>
      <c r="AC55" s="9">
        <v>611</v>
      </c>
      <c r="AD55" s="9">
        <v>48.6</v>
      </c>
      <c r="AE55" s="9">
        <v>8</v>
      </c>
      <c r="AF55" s="9">
        <v>23</v>
      </c>
      <c r="AG55" s="9">
        <v>31.7</v>
      </c>
      <c r="AH55" s="9">
        <v>20.5</v>
      </c>
      <c r="AI55" s="9">
        <v>0.9</v>
      </c>
      <c r="AJ55" s="9">
        <v>0.6</v>
      </c>
      <c r="AK55" s="9">
        <v>373.8</v>
      </c>
      <c r="AL55" s="9">
        <v>210.6</v>
      </c>
      <c r="AM55" s="9">
        <v>0.78</v>
      </c>
      <c r="AN55" s="9">
        <v>0.69</v>
      </c>
      <c r="AO55" s="9">
        <v>9.3350000000000009</v>
      </c>
      <c r="AP55" s="9">
        <v>2.3370000000000002</v>
      </c>
      <c r="AQ55" s="9">
        <v>6.8419999999999996</v>
      </c>
      <c r="AR55" s="9">
        <v>2.63</v>
      </c>
      <c r="AS55" s="9">
        <v>24.952058340798857</v>
      </c>
      <c r="AT55" s="9">
        <v>4.8061543840036615E-2</v>
      </c>
      <c r="AU55" s="9">
        <v>254.31785128438872</v>
      </c>
      <c r="AV55" s="9">
        <v>12.005366247042746</v>
      </c>
      <c r="AW55" s="9">
        <v>21.737764664142002</v>
      </c>
      <c r="AX55" s="9">
        <v>32.986669159545897</v>
      </c>
      <c r="AY55" s="9">
        <v>6.9853661322902685</v>
      </c>
      <c r="AZ55" s="9">
        <v>9.9620925775621531E-3</v>
      </c>
      <c r="BA55" s="9">
        <v>270.11179490088836</v>
      </c>
      <c r="BB55" s="9">
        <v>2.6146152554860946</v>
      </c>
      <c r="BC55" s="9">
        <v>22.068480583632532</v>
      </c>
      <c r="BD55" s="9">
        <v>28.044695836545898</v>
      </c>
      <c r="BE55" s="9">
        <v>500.65179999999998</v>
      </c>
      <c r="BF55" s="9">
        <v>69.028800000000004</v>
      </c>
      <c r="BG55" s="9">
        <v>216.86019999999999</v>
      </c>
      <c r="BH55" s="9">
        <v>1.3788</v>
      </c>
      <c r="BI55" s="9">
        <v>500.65179999999998</v>
      </c>
      <c r="BJ55" s="9">
        <v>7.4749999999999996</v>
      </c>
      <c r="BK55" s="9">
        <v>1531</v>
      </c>
      <c r="BL55" s="9">
        <v>70.5</v>
      </c>
      <c r="BM55" s="9">
        <v>11</v>
      </c>
      <c r="BN55" s="9">
        <v>41</v>
      </c>
      <c r="BO55" s="9">
        <v>26.5</v>
      </c>
      <c r="BP55" s="9">
        <v>24.3</v>
      </c>
      <c r="BQ55" s="9">
        <v>0.7</v>
      </c>
      <c r="BR55" s="9">
        <v>0.8</v>
      </c>
      <c r="BS55" s="9">
        <v>265.50736704822253</v>
      </c>
      <c r="BT55" s="9">
        <v>156.2593739873243</v>
      </c>
      <c r="BU55" s="9">
        <v>0.79</v>
      </c>
      <c r="BV55" s="9">
        <v>0.69</v>
      </c>
      <c r="BW55" s="9">
        <v>31.241</v>
      </c>
      <c r="BX55" s="9">
        <v>25.611999999999998</v>
      </c>
      <c r="BY55" s="9">
        <v>14.786</v>
      </c>
      <c r="BZ55" s="9">
        <v>9.5210000000000008</v>
      </c>
      <c r="CA55" s="9">
        <v>20.054753251171725</v>
      </c>
      <c r="CB55" s="9">
        <v>0.2089918132661448</v>
      </c>
      <c r="CC55" s="9">
        <v>388.78573372383227</v>
      </c>
      <c r="CD55" s="9">
        <v>8.3440067880924289</v>
      </c>
      <c r="CE55" s="9">
        <v>3.885848267033623</v>
      </c>
      <c r="CF55" s="9">
        <v>33.738095836545895</v>
      </c>
      <c r="CG55" s="9">
        <v>14.855330400072527</v>
      </c>
      <c r="CH55" s="9">
        <v>0.13931843790883811</v>
      </c>
      <c r="CI55" s="9">
        <v>394.77984234801357</v>
      </c>
      <c r="CJ55" s="9">
        <v>5.8391832392166485</v>
      </c>
      <c r="CK55" s="9">
        <v>4.0212618306680827</v>
      </c>
      <c r="CL55" s="9">
        <v>31.995124996091796</v>
      </c>
      <c r="CM55" s="9">
        <v>970.70079999999996</v>
      </c>
      <c r="CN55" s="9">
        <f>AVERAGE(CN53:CN54)</f>
        <v>164.89454999999998</v>
      </c>
      <c r="CO55" s="9">
        <v>312.21269999999998</v>
      </c>
      <c r="CP55" s="9">
        <v>1.0238</v>
      </c>
      <c r="CQ55" s="9">
        <v>970.70079999999996</v>
      </c>
      <c r="CR55" s="9">
        <v>71.991</v>
      </c>
      <c r="CS55" s="9">
        <v>3886</v>
      </c>
      <c r="CT55" s="9">
        <v>22.3</v>
      </c>
      <c r="CU55" s="9">
        <v>0.8</v>
      </c>
      <c r="CV55" s="9">
        <v>275.61951264135126</v>
      </c>
      <c r="CW55" s="9">
        <v>0.82</v>
      </c>
      <c r="CX55" s="9">
        <v>15.593713574071321</v>
      </c>
      <c r="CY55" s="9">
        <v>0.26782164481918885</v>
      </c>
      <c r="CZ55" s="9">
        <v>315.60010451161509</v>
      </c>
      <c r="DA55" s="9">
        <v>11.318514658800114</v>
      </c>
      <c r="DB55" s="9">
        <v>4.1459285686212564</v>
      </c>
      <c r="DC55" s="9">
        <v>40.050117492675781</v>
      </c>
      <c r="DD55" s="9">
        <v>89</v>
      </c>
      <c r="DE55" s="9">
        <v>94</v>
      </c>
      <c r="DF55" s="9">
        <v>122</v>
      </c>
      <c r="DG55" s="9">
        <v>73</v>
      </c>
      <c r="DH55" s="9">
        <v>10</v>
      </c>
      <c r="DI55" s="9">
        <v>5</v>
      </c>
      <c r="DJ55" s="9">
        <v>38.18</v>
      </c>
      <c r="DK55" s="9">
        <v>22.95</v>
      </c>
      <c r="DL55" s="9">
        <v>9.65</v>
      </c>
      <c r="DM55" s="9">
        <v>13.76</v>
      </c>
      <c r="DN55" s="9">
        <f t="shared" si="28"/>
        <v>13.299999999999999</v>
      </c>
      <c r="DO55" s="9">
        <f t="shared" si="29"/>
        <v>0.42047930283224405</v>
      </c>
    </row>
    <row r="56" spans="1:119" x14ac:dyDescent="0.25">
      <c r="A56" s="12">
        <v>4</v>
      </c>
      <c r="B56" s="12">
        <v>4</v>
      </c>
      <c r="C56" s="14" t="s">
        <v>207</v>
      </c>
      <c r="D56" s="8" t="s">
        <v>223</v>
      </c>
      <c r="E56" s="8">
        <v>1</v>
      </c>
      <c r="F56" s="9">
        <v>29</v>
      </c>
      <c r="G56" s="9">
        <v>0</v>
      </c>
      <c r="H56" s="9">
        <v>4</v>
      </c>
      <c r="I56" s="9">
        <v>13.1</v>
      </c>
      <c r="J56" s="9">
        <v>0.35</v>
      </c>
      <c r="K56" s="9">
        <v>12.7</v>
      </c>
      <c r="L56" s="9">
        <v>0.2</v>
      </c>
      <c r="M56" s="9">
        <v>0.245</v>
      </c>
      <c r="N56" s="9">
        <v>0.19</v>
      </c>
      <c r="O56" s="9">
        <v>0.12</v>
      </c>
      <c r="P56" s="9">
        <v>7.5999999999999998E-2</v>
      </c>
      <c r="Q56" s="9">
        <v>11.756422539483697</v>
      </c>
      <c r="R56" s="9">
        <v>0.28729512991092859</v>
      </c>
      <c r="S56" s="9">
        <v>246.17672543491994</v>
      </c>
      <c r="T56" s="9">
        <v>4.8383522384043642</v>
      </c>
      <c r="U56" s="9">
        <v>1.6779124610169909</v>
      </c>
      <c r="V56" s="9">
        <v>29.97871208190918</v>
      </c>
      <c r="W56" s="9">
        <v>170.20910000000001</v>
      </c>
      <c r="X56" s="9">
        <f>AVERAGE(X57:X58)</f>
        <v>3.6850499999999999</v>
      </c>
      <c r="Y56" s="9">
        <f t="shared" ref="Y56" si="38">AVERAGE(Y57:Y58)</f>
        <v>11.577</v>
      </c>
      <c r="Z56" s="9">
        <f t="shared" ref="Z56" si="39">AVERAGE(Z57:Z58)</f>
        <v>0.32599999999999996</v>
      </c>
      <c r="AA56" s="9">
        <f t="shared" ref="AA56" si="40">AVERAGE(AA57:AA58)</f>
        <v>112.88655</v>
      </c>
      <c r="AB56" s="9">
        <f t="shared" ref="AB56" si="41">AVERAGE(AB57:AB58)</f>
        <v>9.4500000000000001E-2</v>
      </c>
      <c r="AC56" s="9">
        <v>956</v>
      </c>
      <c r="AD56" s="9">
        <v>39.700000000000003</v>
      </c>
      <c r="AE56" s="9">
        <v>5</v>
      </c>
      <c r="AF56" s="9">
        <v>15</v>
      </c>
      <c r="AG56" s="9">
        <v>25.4</v>
      </c>
      <c r="AH56" s="9">
        <v>19.3</v>
      </c>
      <c r="AI56" s="9">
        <v>0.5</v>
      </c>
      <c r="AJ56" s="9">
        <v>0.4</v>
      </c>
      <c r="AK56" s="9">
        <v>403.9</v>
      </c>
      <c r="AL56" s="9">
        <v>210.7</v>
      </c>
      <c r="AM56" s="9">
        <v>0.75</v>
      </c>
      <c r="AN56" s="9">
        <v>0.68</v>
      </c>
      <c r="AO56" s="9">
        <v>4.3319999999999999</v>
      </c>
      <c r="AP56" s="9">
        <v>1.337</v>
      </c>
      <c r="AQ56" s="9">
        <v>5.0419999999999998</v>
      </c>
      <c r="AR56" s="9">
        <v>2.004</v>
      </c>
      <c r="AS56" s="9">
        <v>29.333715641603373</v>
      </c>
      <c r="AT56" s="9">
        <v>3.0033476929989866E-2</v>
      </c>
      <c r="AU56" s="9">
        <v>218.75277312684608</v>
      </c>
      <c r="AV56" s="9">
        <v>9.7698951938693135</v>
      </c>
      <c r="AW56" s="9">
        <v>27.623345527485547</v>
      </c>
      <c r="AX56" s="9">
        <v>32.966352081909179</v>
      </c>
      <c r="AY56" s="9">
        <v>5.8848617399705994</v>
      </c>
      <c r="AZ56" s="9">
        <v>8.3610599306314891E-3</v>
      </c>
      <c r="BA56" s="9">
        <v>277.23562446932635</v>
      </c>
      <c r="BB56" s="9">
        <v>2.0758242462503107</v>
      </c>
      <c r="BC56" s="9">
        <v>21.00342829846138</v>
      </c>
      <c r="BD56" s="9">
        <v>28.02437875890918</v>
      </c>
      <c r="BE56" s="9">
        <f>AVERAGE(BE57:BE58)</f>
        <v>274.99225000000001</v>
      </c>
      <c r="BF56" s="9">
        <f t="shared" ref="BF56:BJ56" si="42">AVERAGE(BF57:BF58)</f>
        <v>35.676000000000002</v>
      </c>
      <c r="BG56" s="9">
        <f t="shared" si="42"/>
        <v>112.07939999999999</v>
      </c>
      <c r="BH56" s="9">
        <f t="shared" si="42"/>
        <v>1.3098999999999998</v>
      </c>
      <c r="BI56" s="9">
        <f t="shared" si="42"/>
        <v>274.99225000000001</v>
      </c>
      <c r="BJ56" s="9">
        <f t="shared" si="42"/>
        <v>3.6895000000000002</v>
      </c>
      <c r="BK56" s="9">
        <v>1470</v>
      </c>
      <c r="BL56" s="9">
        <v>75</v>
      </c>
      <c r="BM56" s="9">
        <v>13</v>
      </c>
      <c r="BN56" s="9">
        <v>44</v>
      </c>
      <c r="BO56" s="9">
        <v>24.5</v>
      </c>
      <c r="BP56" s="9">
        <v>29.6</v>
      </c>
      <c r="BQ56" s="9">
        <v>0.6</v>
      </c>
      <c r="BR56" s="9">
        <v>0.7</v>
      </c>
      <c r="BS56" s="9">
        <v>250.0583404469736</v>
      </c>
      <c r="BT56" s="9">
        <v>122.15287909399603</v>
      </c>
      <c r="BU56" s="9">
        <v>0.78</v>
      </c>
      <c r="BV56" s="9">
        <v>0.68</v>
      </c>
      <c r="BW56" s="9">
        <v>32.405000000000001</v>
      </c>
      <c r="BX56" s="9">
        <v>27.652000000000001</v>
      </c>
      <c r="BY56" s="9">
        <v>13.523</v>
      </c>
      <c r="BZ56" s="9">
        <v>10.015000000000001</v>
      </c>
      <c r="CA56" s="9">
        <v>17.093850359984931</v>
      </c>
      <c r="CB56" s="9">
        <v>0.18742013055276849</v>
      </c>
      <c r="CC56" s="9">
        <v>397.63003055829392</v>
      </c>
      <c r="CD56" s="9">
        <v>7.286576511710888</v>
      </c>
      <c r="CE56" s="9">
        <v>3.7687038495336567</v>
      </c>
      <c r="CF56" s="9">
        <v>33.717778758909176</v>
      </c>
      <c r="CG56" s="9">
        <v>11.340581300115039</v>
      </c>
      <c r="CH56" s="9">
        <v>0.14080384648032593</v>
      </c>
      <c r="CI56" s="9">
        <v>404.94009677922043</v>
      </c>
      <c r="CJ56" s="9">
        <v>5.708838307997671</v>
      </c>
      <c r="CK56" s="9">
        <v>3.8937732816409167</v>
      </c>
      <c r="CL56" s="9">
        <v>31.954490840818359</v>
      </c>
      <c r="CM56" s="9">
        <v>1094.8179</v>
      </c>
      <c r="CN56" s="9">
        <f>AVERAGE(CN57:CN58)</f>
        <v>168.10525000000001</v>
      </c>
      <c r="CO56" s="9">
        <f>AVERAGE(CO57:CO58)</f>
        <v>528.11815000000001</v>
      </c>
      <c r="CP56" s="9">
        <v>0.86119999999999997</v>
      </c>
      <c r="CQ56" s="9">
        <v>1094.8179</v>
      </c>
      <c r="CR56" s="9">
        <v>63.377000000000002</v>
      </c>
      <c r="CS56" s="9">
        <v>4321</v>
      </c>
      <c r="CT56" s="9">
        <v>15.6</v>
      </c>
      <c r="CU56" s="9">
        <v>0.7</v>
      </c>
      <c r="CV56" s="9">
        <v>234.2429281375662</v>
      </c>
      <c r="CW56" s="9">
        <v>0.83</v>
      </c>
      <c r="CX56" s="9">
        <v>16.915622757552448</v>
      </c>
      <c r="CY56" s="9">
        <v>0.25372734731370472</v>
      </c>
      <c r="CZ56" s="9">
        <v>301.27430522202627</v>
      </c>
      <c r="DA56" s="9">
        <v>10.92815004442561</v>
      </c>
      <c r="DB56" s="9">
        <v>4.2124193327016979</v>
      </c>
      <c r="DC56" s="9">
        <v>40.178775787353516</v>
      </c>
      <c r="DD56" s="9">
        <v>91</v>
      </c>
      <c r="DE56" s="9">
        <v>97</v>
      </c>
      <c r="DF56" s="9">
        <v>127</v>
      </c>
      <c r="DG56" s="9">
        <v>84</v>
      </c>
      <c r="DH56" s="9">
        <v>11</v>
      </c>
      <c r="DI56" s="9">
        <v>6</v>
      </c>
      <c r="DJ56" s="9">
        <v>45.17</v>
      </c>
      <c r="DK56" s="9">
        <v>29.64</v>
      </c>
      <c r="DL56" s="9">
        <v>10.15</v>
      </c>
      <c r="DM56" s="9">
        <v>19.82</v>
      </c>
      <c r="DN56" s="9">
        <f t="shared" si="28"/>
        <v>19.490000000000002</v>
      </c>
      <c r="DO56" s="9">
        <f t="shared" si="29"/>
        <v>0.34244264507422401</v>
      </c>
    </row>
    <row r="57" spans="1:119" x14ac:dyDescent="0.25">
      <c r="A57" s="12">
        <v>5</v>
      </c>
      <c r="B57" s="12">
        <v>4</v>
      </c>
      <c r="C57" s="14" t="s">
        <v>207</v>
      </c>
      <c r="D57" s="8" t="s">
        <v>223</v>
      </c>
      <c r="E57" s="8">
        <v>2</v>
      </c>
      <c r="F57" s="9">
        <v>36</v>
      </c>
      <c r="G57" s="9">
        <v>0</v>
      </c>
      <c r="H57" s="9">
        <v>4</v>
      </c>
      <c r="I57" s="9">
        <v>22.3</v>
      </c>
      <c r="J57" s="9">
        <v>0.15</v>
      </c>
      <c r="K57" s="9">
        <v>18.5</v>
      </c>
      <c r="L57" s="9">
        <v>0.1</v>
      </c>
      <c r="M57" s="9">
        <v>0.24300000000000002</v>
      </c>
      <c r="N57" s="9">
        <v>0.16700000000000001</v>
      </c>
      <c r="O57" s="9">
        <v>0.106</v>
      </c>
      <c r="P57" s="9">
        <v>7.8E-2</v>
      </c>
      <c r="Q57" s="9">
        <v>12.160040450629458</v>
      </c>
      <c r="R57" s="9">
        <v>0.20682997911612719</v>
      </c>
      <c r="S57" s="9">
        <v>227.94314463802112</v>
      </c>
      <c r="T57" s="9">
        <v>3.6677929700604883</v>
      </c>
      <c r="U57" s="9">
        <v>1.7436403254221591</v>
      </c>
      <c r="V57" s="9">
        <v>29.543176651000977</v>
      </c>
      <c r="W57" s="9">
        <v>125.3916</v>
      </c>
      <c r="X57" s="9">
        <v>4.1402999999999999</v>
      </c>
      <c r="Y57" s="9">
        <v>13.007199999999999</v>
      </c>
      <c r="Z57" s="9">
        <v>0.33019999999999999</v>
      </c>
      <c r="AA57" s="9">
        <v>125.3916</v>
      </c>
      <c r="AB57" s="9">
        <v>0.107</v>
      </c>
      <c r="AC57" s="9">
        <v>733</v>
      </c>
      <c r="AD57" s="9">
        <v>42.6</v>
      </c>
      <c r="AE57" s="9">
        <v>4</v>
      </c>
      <c r="AF57" s="9">
        <v>12</v>
      </c>
      <c r="AG57" s="9">
        <v>29.3</v>
      </c>
      <c r="AH57" s="9">
        <v>26.4</v>
      </c>
      <c r="AI57" s="9">
        <v>0.4</v>
      </c>
      <c r="AJ57" s="9">
        <v>0.3</v>
      </c>
      <c r="AK57" s="9">
        <v>390.6</v>
      </c>
      <c r="AL57" s="9">
        <v>211.6</v>
      </c>
      <c r="AM57" s="9">
        <v>0.73</v>
      </c>
      <c r="AN57" s="9">
        <v>0.62</v>
      </c>
      <c r="AO57" s="9">
        <v>3.9670000000000001</v>
      </c>
      <c r="AP57" s="9">
        <v>1.657</v>
      </c>
      <c r="AQ57" s="9">
        <v>4.7809999999999997</v>
      </c>
      <c r="AR57" s="9">
        <v>1.6519999999999999</v>
      </c>
      <c r="AS57" s="9">
        <v>24.405553827608703</v>
      </c>
      <c r="AT57" s="9">
        <v>3.2619632760141307E-2</v>
      </c>
      <c r="AU57" s="9">
        <v>217.02868867987914</v>
      </c>
      <c r="AV57" s="9">
        <v>10.896197510085081</v>
      </c>
      <c r="AW57" s="9">
        <v>28.170847365816485</v>
      </c>
      <c r="AX57" s="9">
        <v>32.530816651000976</v>
      </c>
      <c r="AY57" s="9">
        <v>4.45905291863731</v>
      </c>
      <c r="AZ57" s="9">
        <v>5.8874361706564319E-3</v>
      </c>
      <c r="BA57" s="9">
        <v>241.7081787701367</v>
      </c>
      <c r="BB57" s="9">
        <v>1.8776289950098959</v>
      </c>
      <c r="BC57" s="9">
        <v>27.081505212388766</v>
      </c>
      <c r="BD57" s="9">
        <v>27.588843328000976</v>
      </c>
      <c r="BE57" s="9">
        <v>296.71449999999999</v>
      </c>
      <c r="BF57" s="9">
        <v>34.154499999999999</v>
      </c>
      <c r="BG57" s="9">
        <v>107.29949999999999</v>
      </c>
      <c r="BH57" s="9">
        <v>1.1511</v>
      </c>
      <c r="BI57" s="9">
        <v>296.71449999999999</v>
      </c>
      <c r="BJ57" s="9">
        <v>3.0880000000000001</v>
      </c>
      <c r="BK57" s="9">
        <v>1329</v>
      </c>
      <c r="BL57" s="9">
        <v>67.2</v>
      </c>
      <c r="BM57" s="9">
        <v>11</v>
      </c>
      <c r="BN57" s="9">
        <v>35</v>
      </c>
      <c r="BO57" s="9">
        <v>3</v>
      </c>
      <c r="BP57" s="9">
        <v>25.1</v>
      </c>
      <c r="BQ57" s="9">
        <v>0.6</v>
      </c>
      <c r="BR57" s="9">
        <v>0.7</v>
      </c>
      <c r="BS57" s="9">
        <v>282.28280744873774</v>
      </c>
      <c r="BT57" s="9">
        <v>137.40824165776831</v>
      </c>
      <c r="BU57" s="9">
        <v>0.75</v>
      </c>
      <c r="BV57" s="9">
        <v>0.62</v>
      </c>
      <c r="BW57" s="9">
        <v>27.780999999999999</v>
      </c>
      <c r="BX57" s="9">
        <v>26.513999999999999</v>
      </c>
      <c r="BY57" s="9">
        <v>14.612</v>
      </c>
      <c r="BZ57" s="9">
        <v>10.151999999999999</v>
      </c>
      <c r="CA57" s="9">
        <v>22.028439436719385</v>
      </c>
      <c r="CB57" s="9">
        <v>0.23097140012864087</v>
      </c>
      <c r="CC57" s="9">
        <v>390.83633299081373</v>
      </c>
      <c r="CD57" s="9">
        <v>9.1289397650710367</v>
      </c>
      <c r="CE57" s="9">
        <v>3.8626731696465364</v>
      </c>
      <c r="CF57" s="9">
        <v>33.282243328000973</v>
      </c>
      <c r="CG57" s="9">
        <v>12.678397938904515</v>
      </c>
      <c r="CH57" s="9">
        <v>0.14242864670314262</v>
      </c>
      <c r="CI57" s="9">
        <v>402.47947472895999</v>
      </c>
      <c r="CJ57" s="9">
        <v>5.8261970475550946</v>
      </c>
      <c r="CK57" s="9">
        <v>3.9293440002077826</v>
      </c>
      <c r="CL57" s="9">
        <v>31.083419979001953</v>
      </c>
      <c r="CM57" s="9">
        <v>1050.8753999999999</v>
      </c>
      <c r="CN57" s="9">
        <v>183.2998</v>
      </c>
      <c r="CO57" s="9">
        <v>575.85329999999999</v>
      </c>
      <c r="CP57" s="9">
        <v>0.89380000000000004</v>
      </c>
      <c r="CQ57" s="9">
        <v>1050.8753999999999</v>
      </c>
      <c r="CR57" s="9">
        <f>AVERAGE(CR58:CR59)</f>
        <v>23.994999999999997</v>
      </c>
      <c r="CS57" s="9">
        <v>7378</v>
      </c>
      <c r="CT57" s="9">
        <v>18.100000000000001</v>
      </c>
      <c r="CU57" s="9">
        <v>0.7</v>
      </c>
      <c r="CV57" s="9">
        <v>255.24700111142118</v>
      </c>
      <c r="CW57" s="9">
        <v>0.83</v>
      </c>
      <c r="CX57" s="9">
        <v>17.107435239663037</v>
      </c>
      <c r="CY57" s="9">
        <v>0.25407925977963836</v>
      </c>
      <c r="CZ57" s="9">
        <v>300.17510400260892</v>
      </c>
      <c r="DA57" s="9">
        <v>10.938998921955575</v>
      </c>
      <c r="DB57" s="9">
        <v>4.211089956077628</v>
      </c>
      <c r="DC57" s="9">
        <v>40.175746917724609</v>
      </c>
      <c r="DD57" s="9">
        <v>91</v>
      </c>
      <c r="DE57" s="9">
        <v>97</v>
      </c>
      <c r="DF57" s="9">
        <v>127</v>
      </c>
      <c r="DG57" s="9">
        <v>68</v>
      </c>
      <c r="DH57" s="9">
        <v>8</v>
      </c>
      <c r="DI57" s="9">
        <v>6</v>
      </c>
      <c r="DJ57" s="9">
        <v>43.32</v>
      </c>
      <c r="DK57" s="9">
        <v>27.12</v>
      </c>
      <c r="DL57" s="9">
        <v>9.36</v>
      </c>
      <c r="DM57" s="9">
        <v>18.75</v>
      </c>
      <c r="DN57" s="9">
        <f t="shared" si="28"/>
        <v>17.760000000000002</v>
      </c>
      <c r="DO57" s="9">
        <f t="shared" si="29"/>
        <v>0.34513274336283184</v>
      </c>
    </row>
    <row r="58" spans="1:119" x14ac:dyDescent="0.25">
      <c r="A58" s="12">
        <v>6</v>
      </c>
      <c r="B58" s="12">
        <v>4</v>
      </c>
      <c r="C58" s="14" t="s">
        <v>207</v>
      </c>
      <c r="D58" s="8" t="s">
        <v>223</v>
      </c>
      <c r="E58" s="8">
        <v>3</v>
      </c>
      <c r="F58" s="9">
        <v>31.3</v>
      </c>
      <c r="G58" s="9">
        <v>0</v>
      </c>
      <c r="H58" s="9">
        <v>3</v>
      </c>
      <c r="I58" s="9">
        <v>21.4</v>
      </c>
      <c r="J58" s="9">
        <v>0.3</v>
      </c>
      <c r="K58" s="9">
        <v>17.899999999999999</v>
      </c>
      <c r="L58" s="9">
        <v>0.3</v>
      </c>
      <c r="M58" s="9">
        <v>0.20400000000000001</v>
      </c>
      <c r="N58" s="9">
        <v>0.14599999999999999</v>
      </c>
      <c r="O58" s="9">
        <v>0.19400000000000001</v>
      </c>
      <c r="P58" s="9">
        <v>6.9000000000000006E-2</v>
      </c>
      <c r="Q58" s="9">
        <v>14.680979702567573</v>
      </c>
      <c r="R58" s="9">
        <v>0.23069370825485294</v>
      </c>
      <c r="S58" s="9">
        <v>222.12431418304081</v>
      </c>
      <c r="T58" s="9">
        <v>4.0783111012083673</v>
      </c>
      <c r="U58" s="9">
        <v>1.746805408171523</v>
      </c>
      <c r="V58" s="9">
        <v>29.534172058105469</v>
      </c>
      <c r="W58" s="9">
        <v>100.3815</v>
      </c>
      <c r="X58" s="9">
        <v>3.2298</v>
      </c>
      <c r="Y58" s="9">
        <v>10.146800000000001</v>
      </c>
      <c r="Z58" s="9">
        <v>0.32179999999999997</v>
      </c>
      <c r="AA58" s="9">
        <v>100.3815</v>
      </c>
      <c r="AB58" s="9">
        <v>8.2000000000000003E-2</v>
      </c>
      <c r="AC58" s="9">
        <v>640</v>
      </c>
      <c r="AD58" s="9">
        <v>44.8</v>
      </c>
      <c r="AE58" s="9">
        <v>4</v>
      </c>
      <c r="AF58" s="9">
        <v>14</v>
      </c>
      <c r="AG58" s="9">
        <v>30</v>
      </c>
      <c r="AH58" s="9">
        <v>22.5</v>
      </c>
      <c r="AI58" s="9">
        <v>0.6</v>
      </c>
      <c r="AJ58" s="9">
        <v>0.4</v>
      </c>
      <c r="AK58" s="9">
        <v>350.7</v>
      </c>
      <c r="AL58" s="9">
        <v>161.19999999999999</v>
      </c>
      <c r="AM58" s="9">
        <v>0.79</v>
      </c>
      <c r="AN58" s="9">
        <v>0.73</v>
      </c>
      <c r="AO58" s="9">
        <v>5.4320000000000004</v>
      </c>
      <c r="AP58" s="9">
        <v>1.976</v>
      </c>
      <c r="AQ58" s="9">
        <v>4.9420000000000002</v>
      </c>
      <c r="AR58" s="9">
        <v>1.5620000000000001</v>
      </c>
      <c r="AS58" s="9">
        <v>32.321279668637253</v>
      </c>
      <c r="AT58" s="9">
        <v>6.2690256937421779E-2</v>
      </c>
      <c r="AU58" s="9">
        <v>234.26142713876115</v>
      </c>
      <c r="AV58" s="9">
        <v>17.689722061285103</v>
      </c>
      <c r="AW58" s="9">
        <v>24.329610910263227</v>
      </c>
      <c r="AX58" s="9">
        <v>32.521812058105468</v>
      </c>
      <c r="AY58" s="9">
        <v>12.085453169167033</v>
      </c>
      <c r="AZ58" s="9">
        <v>1.5365161447380871E-2</v>
      </c>
      <c r="BA58" s="9">
        <v>237.16058043372544</v>
      </c>
      <c r="BB58" s="9">
        <v>4.862410026005664</v>
      </c>
      <c r="BC58" s="9">
        <v>26.828087852657951</v>
      </c>
      <c r="BD58" s="9">
        <v>27.579838735105469</v>
      </c>
      <c r="BE58" s="9">
        <v>253.27</v>
      </c>
      <c r="BF58" s="9">
        <v>37.197499999999998</v>
      </c>
      <c r="BG58" s="9">
        <v>116.8593</v>
      </c>
      <c r="BH58" s="9">
        <v>1.4686999999999999</v>
      </c>
      <c r="BI58" s="9">
        <v>253.27</v>
      </c>
      <c r="BJ58" s="9">
        <v>4.2910000000000004</v>
      </c>
      <c r="BK58" s="9">
        <v>537</v>
      </c>
      <c r="BL58" s="9">
        <v>65.5</v>
      </c>
      <c r="BM58" s="9">
        <v>12</v>
      </c>
      <c r="BN58" s="9">
        <v>39</v>
      </c>
      <c r="BO58" s="9">
        <v>25.3</v>
      </c>
      <c r="BP58" s="9">
        <v>27.4</v>
      </c>
      <c r="BQ58" s="9">
        <v>0.6</v>
      </c>
      <c r="BR58" s="9">
        <v>0.7</v>
      </c>
      <c r="BS58" s="9">
        <v>265.50736704822253</v>
      </c>
      <c r="BT58" s="9">
        <v>133.10661720560941</v>
      </c>
      <c r="BU58" s="9">
        <v>0.75</v>
      </c>
      <c r="BV58" s="9">
        <v>0.69</v>
      </c>
      <c r="BW58" s="9">
        <v>34.781999999999996</v>
      </c>
      <c r="BX58" s="9">
        <v>25.425000000000001</v>
      </c>
      <c r="BY58" s="9">
        <v>15.824</v>
      </c>
      <c r="BZ58" s="9">
        <v>11.512</v>
      </c>
      <c r="CA58" s="9">
        <v>19.306721838407491</v>
      </c>
      <c r="CB58" s="9">
        <v>0.24245534099770222</v>
      </c>
      <c r="CC58" s="9">
        <v>394.78206369866268</v>
      </c>
      <c r="CD58" s="9">
        <v>9.6132941159162453</v>
      </c>
      <c r="CE58" s="9">
        <v>3.8800335813386675</v>
      </c>
      <c r="CF58" s="9">
        <v>33.273238735105465</v>
      </c>
      <c r="CG58" s="9">
        <v>7.3830493495307179</v>
      </c>
      <c r="CH58" s="9">
        <v>7.9497541774110989E-2</v>
      </c>
      <c r="CI58" s="9">
        <v>407.54409096208911</v>
      </c>
      <c r="CJ58" s="9">
        <v>3.5009984199986923</v>
      </c>
      <c r="CK58" s="9">
        <v>4.1718733559791916</v>
      </c>
      <c r="CL58" s="9">
        <v>31.065410793210937</v>
      </c>
      <c r="CM58" s="9">
        <v>809.60379999999998</v>
      </c>
      <c r="CN58" s="9">
        <v>152.91069999999999</v>
      </c>
      <c r="CO58" s="9">
        <v>480.38299999999998</v>
      </c>
      <c r="CP58" s="9">
        <v>1.8887</v>
      </c>
      <c r="CQ58" s="9">
        <f>AVERAGE(CQ56:CQ57)</f>
        <v>1072.84665</v>
      </c>
      <c r="CR58" s="9">
        <v>22.683</v>
      </c>
      <c r="CS58" s="9">
        <v>4857</v>
      </c>
      <c r="CT58" s="9">
        <v>12.7</v>
      </c>
      <c r="CU58" s="9">
        <v>0.7</v>
      </c>
      <c r="CV58" s="9">
        <v>258.68415098065896</v>
      </c>
      <c r="CW58" s="9">
        <v>0.83</v>
      </c>
      <c r="CX58" s="9">
        <v>16.936428742676281</v>
      </c>
      <c r="CY58" s="9">
        <v>0.25458200059191527</v>
      </c>
      <c r="CZ58" s="9">
        <v>301.49934361712974</v>
      </c>
      <c r="DA58" s="9">
        <v>10.955073363802988</v>
      </c>
      <c r="DB58" s="9">
        <v>4.2094085195158897</v>
      </c>
      <c r="DC58" s="9">
        <v>40.172069549560547</v>
      </c>
      <c r="DD58" s="9">
        <v>91</v>
      </c>
      <c r="DE58" s="9">
        <v>97</v>
      </c>
      <c r="DF58" s="9">
        <v>127</v>
      </c>
      <c r="DG58" s="9">
        <v>66</v>
      </c>
      <c r="DH58" s="9">
        <v>8</v>
      </c>
      <c r="DI58" s="9">
        <v>6</v>
      </c>
      <c r="DJ58" s="9">
        <v>40.159999999999997</v>
      </c>
      <c r="DK58" s="9">
        <v>26.15</v>
      </c>
      <c r="DL58" s="9">
        <v>9.1199999999999992</v>
      </c>
      <c r="DM58" s="9">
        <v>19.12</v>
      </c>
      <c r="DN58" s="9">
        <f t="shared" si="28"/>
        <v>17.03</v>
      </c>
      <c r="DO58" s="9">
        <f t="shared" si="29"/>
        <v>0.34875717017208413</v>
      </c>
    </row>
    <row r="59" spans="1:119" x14ac:dyDescent="0.25">
      <c r="A59" s="12">
        <v>4</v>
      </c>
      <c r="B59" s="12">
        <v>5</v>
      </c>
      <c r="C59" s="14" t="s">
        <v>208</v>
      </c>
      <c r="D59" s="8" t="s">
        <v>223</v>
      </c>
      <c r="E59" s="8">
        <v>1</v>
      </c>
      <c r="F59" s="9">
        <v>37</v>
      </c>
      <c r="G59" s="9">
        <v>0</v>
      </c>
      <c r="H59" s="9">
        <v>3</v>
      </c>
      <c r="I59" s="9">
        <v>17.600000000000001</v>
      </c>
      <c r="J59" s="9">
        <v>0.15</v>
      </c>
      <c r="K59" s="9">
        <v>21.1</v>
      </c>
      <c r="L59" s="9">
        <v>0.1</v>
      </c>
      <c r="M59" s="9">
        <v>0.25</v>
      </c>
      <c r="N59" s="9">
        <v>0.13700000000000001</v>
      </c>
      <c r="O59" s="9">
        <v>0.11</v>
      </c>
      <c r="P59" s="9">
        <v>6.4000000000000001E-2</v>
      </c>
      <c r="Q59" s="9">
        <v>13.969543058518104</v>
      </c>
      <c r="R59" s="9">
        <v>0.23869576163030654</v>
      </c>
      <c r="S59" s="9">
        <v>231.35716054816049</v>
      </c>
      <c r="T59" s="9">
        <v>4.2135687048867236</v>
      </c>
      <c r="U59" s="9">
        <v>1.7471262517546386</v>
      </c>
      <c r="V59" s="9">
        <v>29.521648406982422</v>
      </c>
      <c r="W59" s="9">
        <v>225.76679999999999</v>
      </c>
      <c r="X59" s="9">
        <v>9.6384000000000007</v>
      </c>
      <c r="Y59" s="9">
        <v>30.279900000000001</v>
      </c>
      <c r="Z59" s="9">
        <v>0.4269</v>
      </c>
      <c r="AA59" s="9">
        <v>225.76679999999999</v>
      </c>
      <c r="AB59" s="9">
        <v>0.32300000000000001</v>
      </c>
      <c r="AC59" s="9">
        <v>930</v>
      </c>
      <c r="AD59" s="9">
        <v>42.8</v>
      </c>
      <c r="AE59" s="9">
        <v>4</v>
      </c>
      <c r="AF59" s="9">
        <v>16</v>
      </c>
      <c r="AG59" s="9">
        <v>28.1</v>
      </c>
      <c r="AH59" s="9">
        <v>22.6</v>
      </c>
      <c r="AI59" s="9">
        <v>0.7</v>
      </c>
      <c r="AJ59" s="9">
        <v>0.7</v>
      </c>
      <c r="AK59" s="9">
        <v>257.60000000000002</v>
      </c>
      <c r="AL59" s="9">
        <v>165.8</v>
      </c>
      <c r="AM59" s="9">
        <v>0.7</v>
      </c>
      <c r="AN59" s="9">
        <v>0.65</v>
      </c>
      <c r="AO59" s="9">
        <v>8.7910000000000004</v>
      </c>
      <c r="AP59" s="9">
        <v>2.2570000000000001</v>
      </c>
      <c r="AQ59" s="9">
        <v>8.8119999999999994</v>
      </c>
      <c r="AR59" s="9">
        <v>2.1539999999999999</v>
      </c>
      <c r="AS59" s="9">
        <v>30.563004969334141</v>
      </c>
      <c r="AT59" s="9">
        <v>4.817741804002424E-2</v>
      </c>
      <c r="AU59" s="9">
        <v>210.31856299972216</v>
      </c>
      <c r="AV59" s="9">
        <v>15.937016728954047</v>
      </c>
      <c r="AW59" s="9">
        <v>28.43396216289268</v>
      </c>
      <c r="AX59" s="9">
        <v>32.509288406982421</v>
      </c>
      <c r="AY59" s="9">
        <v>3.1384084450466614</v>
      </c>
      <c r="AZ59" s="9">
        <v>1.2121566610385753E-2</v>
      </c>
      <c r="BA59" s="9">
        <v>244.80894713406218</v>
      </c>
      <c r="BB59" s="9">
        <v>3.7597182316900644</v>
      </c>
      <c r="BC59" s="9">
        <v>26.543896578439995</v>
      </c>
      <c r="BD59" s="9">
        <v>27.567315083982422</v>
      </c>
      <c r="BE59" s="9">
        <v>433.17509999999999</v>
      </c>
      <c r="BF59" s="9">
        <v>73.718400000000003</v>
      </c>
      <c r="BG59" s="9">
        <v>231.5932</v>
      </c>
      <c r="BH59" s="9">
        <v>1.7018</v>
      </c>
      <c r="BI59" s="9">
        <v>433.17509999999999</v>
      </c>
      <c r="BJ59" s="9">
        <v>9.8529999999999998</v>
      </c>
      <c r="BK59" s="9">
        <v>921</v>
      </c>
      <c r="BL59" s="9">
        <v>66.3</v>
      </c>
      <c r="BM59" s="9">
        <v>8</v>
      </c>
      <c r="BN59" s="9">
        <v>32</v>
      </c>
      <c r="BO59" s="9">
        <v>22.3</v>
      </c>
      <c r="BP59" s="9">
        <v>28.3</v>
      </c>
      <c r="BQ59" s="9">
        <v>0.8</v>
      </c>
      <c r="BR59" s="9">
        <v>1</v>
      </c>
      <c r="BS59" s="9">
        <v>319.49873676983293</v>
      </c>
      <c r="BT59" s="9">
        <v>255.24700111142118</v>
      </c>
      <c r="BU59" s="9">
        <v>0.69</v>
      </c>
      <c r="BV59" s="9">
        <v>0.65</v>
      </c>
      <c r="BW59" s="9">
        <v>36.723999999999997</v>
      </c>
      <c r="BX59" s="9">
        <v>25.965</v>
      </c>
      <c r="BY59" s="9">
        <v>12.221</v>
      </c>
      <c r="BZ59" s="9">
        <v>10.121</v>
      </c>
      <c r="CA59" s="9">
        <v>20.86680854040792</v>
      </c>
      <c r="CB59" s="9">
        <v>0.3097879894286012</v>
      </c>
      <c r="CC59" s="9">
        <v>394.40286202869299</v>
      </c>
      <c r="CD59" s="9">
        <v>10.321466847624468</v>
      </c>
      <c r="CE59" s="9">
        <v>3.3188337444310734</v>
      </c>
      <c r="CF59" s="9">
        <v>33.260715083982419</v>
      </c>
      <c r="CG59" s="9">
        <v>12.283995677184581</v>
      </c>
      <c r="CH59" s="9">
        <v>0.13424744408652345</v>
      </c>
      <c r="CI59" s="9">
        <v>403.57939990625681</v>
      </c>
      <c r="CJ59" s="9">
        <v>5.2499629217778274</v>
      </c>
      <c r="CK59" s="9">
        <v>3.754259377535456</v>
      </c>
      <c r="CL59" s="9">
        <v>31.040363490964843</v>
      </c>
      <c r="CM59" s="9">
        <v>831.72069999999997</v>
      </c>
      <c r="CN59" s="9">
        <v>163.70429999999999</v>
      </c>
      <c r="CO59" s="9">
        <v>514.29240000000004</v>
      </c>
      <c r="CP59" s="9">
        <v>1.9682999999999999</v>
      </c>
      <c r="CQ59" s="9">
        <f>AVERAGE(CQ60:CQ61)</f>
        <v>1144.5091</v>
      </c>
      <c r="CR59" s="9">
        <v>25.306999999999999</v>
      </c>
      <c r="CS59" s="9">
        <v>3169</v>
      </c>
      <c r="CT59" s="9">
        <v>17.899999999999999</v>
      </c>
      <c r="CU59" s="9">
        <v>1</v>
      </c>
      <c r="CV59" s="9">
        <v>273.94407869993609</v>
      </c>
      <c r="CW59" s="9">
        <v>0.8</v>
      </c>
      <c r="CX59" s="9">
        <v>17.635199652930368</v>
      </c>
      <c r="CY59" s="9">
        <v>0.24367082650127697</v>
      </c>
      <c r="CZ59" s="9">
        <v>291.57860976365072</v>
      </c>
      <c r="DA59" s="9">
        <v>10.092229788901008</v>
      </c>
      <c r="DB59" s="9">
        <v>4.0547335328610821</v>
      </c>
      <c r="DC59" s="9">
        <v>39.953193664550781</v>
      </c>
      <c r="DD59" s="9">
        <v>91</v>
      </c>
      <c r="DE59" s="9">
        <v>97</v>
      </c>
      <c r="DF59" s="9">
        <v>127</v>
      </c>
      <c r="DG59" s="9">
        <v>79</v>
      </c>
      <c r="DH59" s="9">
        <v>6</v>
      </c>
      <c r="DI59" s="9">
        <v>5</v>
      </c>
      <c r="DJ59" s="9">
        <v>48.12</v>
      </c>
      <c r="DK59" s="9">
        <v>24.95</v>
      </c>
      <c r="DL59" s="9">
        <v>8.0150000000000006</v>
      </c>
      <c r="DM59" s="9">
        <v>16.54</v>
      </c>
      <c r="DN59" s="9">
        <f t="shared" si="28"/>
        <v>16.934999999999999</v>
      </c>
      <c r="DO59" s="9">
        <f t="shared" si="29"/>
        <v>0.3212424849699399</v>
      </c>
    </row>
    <row r="60" spans="1:119" x14ac:dyDescent="0.25">
      <c r="A60" s="12">
        <v>5</v>
      </c>
      <c r="B60" s="12">
        <v>5</v>
      </c>
      <c r="C60" s="14" t="s">
        <v>208</v>
      </c>
      <c r="D60" s="8" t="s">
        <v>223</v>
      </c>
      <c r="E60" s="8">
        <v>2</v>
      </c>
      <c r="F60" s="9">
        <v>46.5</v>
      </c>
      <c r="G60" s="9">
        <v>0</v>
      </c>
      <c r="H60" s="9">
        <v>3</v>
      </c>
      <c r="I60" s="9">
        <v>27.7</v>
      </c>
      <c r="J60" s="9">
        <v>0.5</v>
      </c>
      <c r="K60" s="9">
        <v>14.3</v>
      </c>
      <c r="L60" s="9">
        <v>0.1</v>
      </c>
      <c r="M60" s="9">
        <v>0.41270000000000001</v>
      </c>
      <c r="N60" s="9">
        <v>0.129</v>
      </c>
      <c r="O60" s="9">
        <v>0.129</v>
      </c>
      <c r="P60" s="9">
        <v>7.0999999999999994E-2</v>
      </c>
      <c r="Q60" s="9">
        <v>13.167770698236778</v>
      </c>
      <c r="R60" s="9">
        <v>0.24450452742394135</v>
      </c>
      <c r="S60" s="9">
        <v>239.78926899682821</v>
      </c>
      <c r="T60" s="9">
        <v>4.3220283376539257</v>
      </c>
      <c r="U60" s="9">
        <v>1.7516215403138884</v>
      </c>
      <c r="V60" s="9">
        <v>29.52813720703125</v>
      </c>
      <c r="W60" s="9">
        <v>237.91130000000001</v>
      </c>
      <c r="X60" s="9">
        <v>10.400499999999999</v>
      </c>
      <c r="Y60" s="9">
        <v>32.674199999999999</v>
      </c>
      <c r="Z60" s="9">
        <v>0.43719999999999998</v>
      </c>
      <c r="AA60" s="9">
        <v>237.91130000000001</v>
      </c>
      <c r="AB60" s="9">
        <v>0.35699999999999998</v>
      </c>
      <c r="AC60" s="9">
        <v>981</v>
      </c>
      <c r="AD60" s="9">
        <v>43.2</v>
      </c>
      <c r="AE60" s="9">
        <v>5</v>
      </c>
      <c r="AF60" s="9">
        <v>19</v>
      </c>
      <c r="AG60" s="9">
        <v>25</v>
      </c>
      <c r="AH60" s="9">
        <v>22.3</v>
      </c>
      <c r="AI60" s="9">
        <v>0.8</v>
      </c>
      <c r="AJ60" s="9">
        <v>0.9</v>
      </c>
      <c r="AK60" s="9">
        <v>301.7</v>
      </c>
      <c r="AL60" s="9">
        <v>150.69999999999999</v>
      </c>
      <c r="AM60" s="9">
        <v>0.68</v>
      </c>
      <c r="AN60" s="9">
        <v>0.61</v>
      </c>
      <c r="AO60" s="9">
        <v>7.3710000000000004</v>
      </c>
      <c r="AP60" s="9">
        <v>1.875</v>
      </c>
      <c r="AQ60" s="9">
        <v>9.1180000000000003</v>
      </c>
      <c r="AR60" s="9">
        <v>1.9970000000000001</v>
      </c>
      <c r="AS60" s="9">
        <v>30.18888777067653</v>
      </c>
      <c r="AT60" s="9">
        <v>4.2796049365631791E-2</v>
      </c>
      <c r="AU60" s="9">
        <v>210.7695580372484</v>
      </c>
      <c r="AV60" s="9">
        <v>14.449543868255471</v>
      </c>
      <c r="AW60" s="9">
        <v>28.033278878194388</v>
      </c>
      <c r="AX60" s="9">
        <v>32.515777207031249</v>
      </c>
      <c r="AY60" s="9">
        <v>9.0097420792469478</v>
      </c>
      <c r="AZ60" s="9">
        <v>1.9538691641456503E-2</v>
      </c>
      <c r="BA60" s="9">
        <v>242.7523484660008</v>
      </c>
      <c r="BB60" s="9">
        <v>5.9195157838787438</v>
      </c>
      <c r="BC60" s="9">
        <v>25.837291812910216</v>
      </c>
      <c r="BD60" s="9">
        <v>27.57380388403125</v>
      </c>
      <c r="BE60" s="9">
        <v>408.84100000000001</v>
      </c>
      <c r="BF60" s="9">
        <v>67.821399999999997</v>
      </c>
      <c r="BG60" s="9">
        <v>213.06729999999999</v>
      </c>
      <c r="BH60" s="9">
        <v>1.6589</v>
      </c>
      <c r="BI60" s="9">
        <v>408.84100000000001</v>
      </c>
      <c r="BJ60" s="9">
        <v>8.8360000000000003</v>
      </c>
      <c r="BK60" s="9">
        <v>932</v>
      </c>
      <c r="BL60" s="9">
        <v>68.900000000000006</v>
      </c>
      <c r="BM60" s="9">
        <v>9</v>
      </c>
      <c r="BN60" s="9">
        <v>35</v>
      </c>
      <c r="BO60" s="9">
        <v>26.1</v>
      </c>
      <c r="BP60" s="9">
        <v>29.5</v>
      </c>
      <c r="BQ60" s="9">
        <v>0.8</v>
      </c>
      <c r="BR60" s="9">
        <v>1</v>
      </c>
      <c r="BS60" s="9">
        <v>316.33161421276441</v>
      </c>
      <c r="BT60" s="9">
        <v>243.07664669081117</v>
      </c>
      <c r="BU60" s="9">
        <v>0.71</v>
      </c>
      <c r="BV60" s="9">
        <v>0.67</v>
      </c>
      <c r="BW60" s="9">
        <v>34.124000000000002</v>
      </c>
      <c r="BX60" s="9">
        <v>24.157</v>
      </c>
      <c r="BY60" s="9">
        <v>11.984999999999999</v>
      </c>
      <c r="BZ60" s="9">
        <v>7.5119999999999996</v>
      </c>
      <c r="CA60" s="9">
        <v>22.610132296272777</v>
      </c>
      <c r="CB60" s="9">
        <v>0.2792976525544979</v>
      </c>
      <c r="CC60" s="9">
        <v>390.51124617868663</v>
      </c>
      <c r="CD60" s="9">
        <v>10.25927097124973</v>
      </c>
      <c r="CE60" s="9">
        <v>3.6313858931951861</v>
      </c>
      <c r="CF60" s="9">
        <v>33.267203884031247</v>
      </c>
      <c r="CG60" s="9">
        <v>15.603443770654483</v>
      </c>
      <c r="CH60" s="9">
        <v>0.15375848827903446</v>
      </c>
      <c r="CI60" s="9">
        <v>398.58217885974994</v>
      </c>
      <c r="CJ60" s="9">
        <v>6.1738968495205437</v>
      </c>
      <c r="CK60" s="9">
        <v>3.8679670303195466</v>
      </c>
      <c r="CL60" s="9">
        <v>31.053341091062499</v>
      </c>
      <c r="CM60" s="9">
        <v>1172.4122</v>
      </c>
      <c r="CN60" s="9">
        <v>169.3948</v>
      </c>
      <c r="CO60" s="9">
        <v>532.1694</v>
      </c>
      <c r="CP60" s="9">
        <v>1.4448000000000001</v>
      </c>
      <c r="CQ60" s="9">
        <v>1172.4122</v>
      </c>
      <c r="CR60" s="9">
        <v>19.222000000000001</v>
      </c>
      <c r="CS60" s="9">
        <v>3035</v>
      </c>
      <c r="CT60" s="9">
        <v>20.2</v>
      </c>
      <c r="CU60" s="9">
        <v>1</v>
      </c>
      <c r="CV60" s="9">
        <v>288.88629951598534</v>
      </c>
      <c r="CW60" s="9">
        <v>0.81</v>
      </c>
      <c r="CX60" s="9">
        <v>17.579032698562237</v>
      </c>
      <c r="CY60" s="9">
        <v>0.24323395549099525</v>
      </c>
      <c r="CZ60" s="9">
        <v>291.75751212472642</v>
      </c>
      <c r="DA60" s="9">
        <v>10.076214380324149</v>
      </c>
      <c r="DB60" s="9">
        <v>4.0552185447088078</v>
      </c>
      <c r="DC60" s="9">
        <v>39.952850341796875</v>
      </c>
      <c r="DD60" s="9">
        <v>91</v>
      </c>
      <c r="DE60" s="9">
        <v>97</v>
      </c>
      <c r="DF60" s="9">
        <v>127</v>
      </c>
      <c r="DG60" s="9">
        <v>87</v>
      </c>
      <c r="DH60" s="9">
        <v>5</v>
      </c>
      <c r="DI60" s="9">
        <v>3</v>
      </c>
      <c r="DJ60" s="9">
        <v>46.05</v>
      </c>
      <c r="DK60" s="9">
        <v>22.63</v>
      </c>
      <c r="DL60" s="9">
        <v>7.42</v>
      </c>
      <c r="DM60" s="9">
        <v>15.32</v>
      </c>
      <c r="DN60" s="9">
        <f t="shared" si="28"/>
        <v>15.209999999999999</v>
      </c>
      <c r="DO60" s="9">
        <f t="shared" si="29"/>
        <v>0.32788334069818825</v>
      </c>
    </row>
    <row r="61" spans="1:119" x14ac:dyDescent="0.25">
      <c r="A61" s="12">
        <v>6</v>
      </c>
      <c r="B61" s="12">
        <v>5</v>
      </c>
      <c r="C61" s="14" t="s">
        <v>208</v>
      </c>
      <c r="D61" s="8" t="s">
        <v>223</v>
      </c>
      <c r="E61" s="8">
        <v>3</v>
      </c>
      <c r="F61" s="9">
        <v>43.7</v>
      </c>
      <c r="G61" s="9">
        <v>0</v>
      </c>
      <c r="H61" s="9">
        <v>3</v>
      </c>
      <c r="I61" s="9">
        <v>28.5</v>
      </c>
      <c r="J61" s="9">
        <v>0.3</v>
      </c>
      <c r="K61" s="9">
        <v>17.399999999999999</v>
      </c>
      <c r="L61" s="9">
        <v>0.1</v>
      </c>
      <c r="M61" s="9">
        <v>0.28599999999999998</v>
      </c>
      <c r="N61" s="9">
        <v>0.13200000000000001</v>
      </c>
      <c r="O61" s="9">
        <v>0.10100000000000001</v>
      </c>
      <c r="P61" s="9">
        <v>6.9000000000000006E-2</v>
      </c>
      <c r="Q61" s="9">
        <v>14.259911703301682</v>
      </c>
      <c r="R61" s="9">
        <v>0.24784836399686638</v>
      </c>
      <c r="S61" s="9">
        <v>233.97639247007888</v>
      </c>
      <c r="T61" s="9">
        <v>4.3784989335193591</v>
      </c>
      <c r="U61" s="9">
        <v>1.7517984370401791</v>
      </c>
      <c r="V61" s="9">
        <v>29.520429611206055</v>
      </c>
      <c r="W61" s="9">
        <v>196.66460000000001</v>
      </c>
      <c r="X61" s="9">
        <v>7.5156999999999998</v>
      </c>
      <c r="Y61" s="9">
        <v>23.6112</v>
      </c>
      <c r="Z61" s="9">
        <v>0.38219999999999998</v>
      </c>
      <c r="AA61" s="9">
        <v>196.66460000000001</v>
      </c>
      <c r="AB61" s="9">
        <v>0.22600000000000001</v>
      </c>
      <c r="AC61" s="9">
        <v>1084</v>
      </c>
      <c r="AD61" s="9">
        <v>39.6</v>
      </c>
      <c r="AE61" s="9">
        <v>4</v>
      </c>
      <c r="AF61" s="9">
        <v>17</v>
      </c>
      <c r="AG61" s="9">
        <v>25.9</v>
      </c>
      <c r="AH61" s="9">
        <v>24</v>
      </c>
      <c r="AI61" s="9">
        <v>0.7</v>
      </c>
      <c r="AJ61" s="9">
        <v>0.8</v>
      </c>
      <c r="AK61" s="9">
        <v>298.7</v>
      </c>
      <c r="AL61" s="9">
        <v>140.9</v>
      </c>
      <c r="AM61" s="9">
        <v>0.7</v>
      </c>
      <c r="AN61" s="9">
        <v>0.61</v>
      </c>
      <c r="AO61" s="9">
        <v>6.9420000000000002</v>
      </c>
      <c r="AP61" s="9">
        <v>2.2879999999999998</v>
      </c>
      <c r="AQ61" s="9">
        <v>7.4509999999999996</v>
      </c>
      <c r="AR61" s="9">
        <v>2.6520000000000001</v>
      </c>
      <c r="AS61" s="9">
        <v>22.839433735141547</v>
      </c>
      <c r="AT61" s="9">
        <v>3.8443103195905187E-2</v>
      </c>
      <c r="AU61" s="9">
        <v>216.90195428221682</v>
      </c>
      <c r="AV61" s="9">
        <v>13.123882990479899</v>
      </c>
      <c r="AW61" s="9">
        <v>28.099705377398141</v>
      </c>
      <c r="AX61" s="9">
        <v>32.508069611206054</v>
      </c>
      <c r="AY61" s="9">
        <v>13.109482471647388</v>
      </c>
      <c r="AZ61" s="9">
        <v>3.3484011976687385E-2</v>
      </c>
      <c r="BA61" s="9">
        <v>262.78386065591809</v>
      </c>
      <c r="BB61" s="9">
        <v>8.5866350124022457</v>
      </c>
      <c r="BC61" s="9">
        <v>21.671353051095036</v>
      </c>
      <c r="BD61" s="9">
        <v>27.566096288206055</v>
      </c>
      <c r="BE61" s="9">
        <v>255.97139999999999</v>
      </c>
      <c r="BF61" s="9">
        <v>47.543399999999998</v>
      </c>
      <c r="BG61" s="9">
        <v>149.3621</v>
      </c>
      <c r="BH61" s="9">
        <v>1.8573999999999999</v>
      </c>
      <c r="BI61" s="9">
        <v>255.97139999999999</v>
      </c>
      <c r="BJ61" s="9">
        <v>6.9359999999999999</v>
      </c>
      <c r="BK61" s="9">
        <v>498</v>
      </c>
      <c r="BL61" s="9">
        <v>61.3</v>
      </c>
      <c r="BM61" s="9">
        <v>8</v>
      </c>
      <c r="BN61" s="9">
        <v>31</v>
      </c>
      <c r="BO61" s="9">
        <v>26.4</v>
      </c>
      <c r="BP61" s="9">
        <v>25.6</v>
      </c>
      <c r="BQ61" s="9">
        <v>0.8</v>
      </c>
      <c r="BR61" s="9">
        <v>1</v>
      </c>
      <c r="BS61" s="9">
        <v>332.04652386333538</v>
      </c>
      <c r="BT61" s="9">
        <v>236.01943379824945</v>
      </c>
      <c r="BU61" s="9">
        <v>0.72</v>
      </c>
      <c r="BV61" s="9">
        <v>0.69</v>
      </c>
      <c r="BW61" s="9">
        <v>28.193000000000001</v>
      </c>
      <c r="BX61" s="9">
        <v>21.347000000000001</v>
      </c>
      <c r="BY61" s="9">
        <v>12.311999999999999</v>
      </c>
      <c r="BZ61" s="9">
        <v>8.5129999999999999</v>
      </c>
      <c r="CA61" s="9">
        <v>22.2073189341145</v>
      </c>
      <c r="CB61" s="9">
        <v>0.31661379941649093</v>
      </c>
      <c r="CC61" s="9">
        <v>390.68734833944455</v>
      </c>
      <c r="CD61" s="9">
        <v>10.609567025655576</v>
      </c>
      <c r="CE61" s="9">
        <v>3.3463658389565638</v>
      </c>
      <c r="CF61" s="9">
        <v>33.259496288206051</v>
      </c>
      <c r="CG61" s="9">
        <v>15.413320639634616</v>
      </c>
      <c r="CH61" s="9">
        <v>0.18059829721239853</v>
      </c>
      <c r="CI61" s="9">
        <v>398.85067927477832</v>
      </c>
      <c r="CJ61" s="9">
        <v>6.7662986678326957</v>
      </c>
      <c r="CK61" s="9">
        <v>3.6349761615255227</v>
      </c>
      <c r="CL61" s="9">
        <v>31.037925899412109</v>
      </c>
      <c r="CM61" s="9">
        <v>1116.606</v>
      </c>
      <c r="CN61" s="9">
        <v>164.5163</v>
      </c>
      <c r="CO61" s="9">
        <v>516.84310000000005</v>
      </c>
      <c r="CP61" s="9">
        <v>1.4734</v>
      </c>
      <c r="CQ61" s="9">
        <v>1116.606</v>
      </c>
      <c r="CR61" s="9">
        <v>19.036999999999999</v>
      </c>
      <c r="CS61" s="9">
        <v>2699</v>
      </c>
      <c r="CT61" s="9">
        <v>20</v>
      </c>
      <c r="CU61" s="9">
        <v>1</v>
      </c>
      <c r="CV61" s="9">
        <v>287.24091285736597</v>
      </c>
      <c r="CW61" s="9">
        <v>0.8</v>
      </c>
      <c r="CX61" s="9">
        <v>17.452125089370583</v>
      </c>
      <c r="CY61" s="9">
        <v>0.24278749500954666</v>
      </c>
      <c r="CZ61" s="9">
        <v>292.41807828108881</v>
      </c>
      <c r="DA61" s="9">
        <v>10.060843852857252</v>
      </c>
      <c r="DB61" s="9">
        <v>4.0560913661506923</v>
      </c>
      <c r="DC61" s="9">
        <v>39.953395843505859</v>
      </c>
      <c r="DD61" s="9">
        <v>91</v>
      </c>
      <c r="DE61" s="9">
        <v>97</v>
      </c>
      <c r="DF61" s="9">
        <v>127</v>
      </c>
      <c r="DG61" s="9">
        <v>82</v>
      </c>
      <c r="DH61" s="9">
        <v>6</v>
      </c>
      <c r="DI61" s="9">
        <v>3</v>
      </c>
      <c r="DJ61" s="9">
        <v>46.98</v>
      </c>
      <c r="DK61" s="9">
        <v>22.14</v>
      </c>
      <c r="DL61" s="9">
        <v>7.01</v>
      </c>
      <c r="DM61" s="9">
        <v>15.03</v>
      </c>
      <c r="DN61" s="9">
        <f t="shared" si="28"/>
        <v>15.13</v>
      </c>
      <c r="DO61" s="9">
        <f t="shared" si="29"/>
        <v>0.3166214995483288</v>
      </c>
    </row>
    <row r="62" spans="1:119" x14ac:dyDescent="0.25">
      <c r="A62" s="12">
        <v>4</v>
      </c>
      <c r="B62" s="12">
        <v>6</v>
      </c>
      <c r="C62" s="14" t="s">
        <v>209</v>
      </c>
      <c r="D62" s="8" t="s">
        <v>223</v>
      </c>
      <c r="E62" s="8">
        <v>1</v>
      </c>
      <c r="F62" s="9">
        <v>51</v>
      </c>
      <c r="G62" s="9">
        <v>0</v>
      </c>
      <c r="H62" s="9">
        <v>4</v>
      </c>
      <c r="I62" s="9">
        <v>34.1</v>
      </c>
      <c r="J62" s="9">
        <v>0.3</v>
      </c>
      <c r="K62" s="9">
        <v>29.7</v>
      </c>
      <c r="L62" s="9">
        <v>0.2</v>
      </c>
      <c r="M62" s="9">
        <v>0.54600000000000004</v>
      </c>
      <c r="N62" s="9">
        <v>0.125</v>
      </c>
      <c r="O62" s="9">
        <v>0.19800000000000001</v>
      </c>
      <c r="P62" s="9">
        <v>5.6000000000000001E-2</v>
      </c>
      <c r="Q62" s="9">
        <v>7.6320728315998663</v>
      </c>
      <c r="R62" s="9">
        <v>8.0891958472390196E-2</v>
      </c>
      <c r="S62" s="9">
        <v>183.71246692385435</v>
      </c>
      <c r="T62" s="9">
        <v>1.7415462717787238</v>
      </c>
      <c r="U62" s="9">
        <v>2.0651141977151046</v>
      </c>
      <c r="V62" s="9">
        <v>29.697353363037109</v>
      </c>
      <c r="W62" s="9">
        <f>AVERAGE(W63:W64)</f>
        <v>142.82229999999998</v>
      </c>
      <c r="X62" s="9">
        <v>15.873100000000001</v>
      </c>
      <c r="Y62" s="9">
        <v>49.866900000000001</v>
      </c>
      <c r="Z62" s="9">
        <v>0.63119999999999998</v>
      </c>
      <c r="AA62" s="9">
        <v>251.47630000000001</v>
      </c>
      <c r="AB62" s="9">
        <v>0.78700000000000003</v>
      </c>
      <c r="AC62" s="9">
        <v>861</v>
      </c>
      <c r="AD62" s="9">
        <v>59.4</v>
      </c>
      <c r="AE62" s="9">
        <v>4</v>
      </c>
      <c r="AF62" s="9">
        <v>13</v>
      </c>
      <c r="AG62" s="9">
        <v>39.299999999999997</v>
      </c>
      <c r="AH62" s="9">
        <v>26</v>
      </c>
      <c r="AI62" s="9">
        <v>0.7</v>
      </c>
      <c r="AJ62" s="9">
        <v>0.5</v>
      </c>
      <c r="AK62" s="9">
        <v>286.7</v>
      </c>
      <c r="AL62" s="9">
        <v>220.7</v>
      </c>
      <c r="AM62" s="9">
        <v>0.74</v>
      </c>
      <c r="AN62" s="9">
        <v>0.71</v>
      </c>
      <c r="AO62" s="9">
        <v>7.6310000000000002</v>
      </c>
      <c r="AP62" s="9">
        <v>2.452</v>
      </c>
      <c r="AQ62" s="9">
        <v>3.851</v>
      </c>
      <c r="AR62" s="9">
        <v>1.129</v>
      </c>
      <c r="AS62" s="9">
        <v>25.773302723897849</v>
      </c>
      <c r="AT62" s="9">
        <v>3.5204200135718247E-2</v>
      </c>
      <c r="AU62" s="9">
        <v>230.32537300211666</v>
      </c>
      <c r="AV62" s="9">
        <v>10.27668666159963</v>
      </c>
      <c r="AW62" s="9">
        <v>25.301927893325683</v>
      </c>
      <c r="AX62" s="9">
        <v>32.684993363037108</v>
      </c>
      <c r="AY62" s="9">
        <v>12.279117163999135</v>
      </c>
      <c r="AZ62" s="9">
        <v>1.095242651549172E-2</v>
      </c>
      <c r="BA62" s="9">
        <v>215.02314433010966</v>
      </c>
      <c r="BB62" s="9">
        <v>4.0531663073002973</v>
      </c>
      <c r="BC62" s="9">
        <v>30.409208150591912</v>
      </c>
      <c r="BD62" s="9">
        <v>27.743020040037109</v>
      </c>
      <c r="BE62" s="9">
        <v>177.10120000000001</v>
      </c>
      <c r="BF62" s="9">
        <v>26.004300000000001</v>
      </c>
      <c r="BG62" s="9">
        <v>81.694900000000004</v>
      </c>
      <c r="BH62" s="9">
        <v>1.4682999999999999</v>
      </c>
      <c r="BI62" s="9">
        <v>177.10120000000001</v>
      </c>
      <c r="BJ62" s="9">
        <v>2.9990000000000001</v>
      </c>
      <c r="BK62" s="9">
        <v>690</v>
      </c>
      <c r="BL62" s="9">
        <v>90.3</v>
      </c>
      <c r="BM62" s="9">
        <v>7</v>
      </c>
      <c r="BN62" s="9">
        <v>27</v>
      </c>
      <c r="BO62" s="9">
        <v>23.2</v>
      </c>
      <c r="BP62" s="9">
        <v>34.700000000000003</v>
      </c>
      <c r="BQ62" s="9">
        <v>1</v>
      </c>
      <c r="BR62" s="9">
        <v>0.9</v>
      </c>
      <c r="BS62" s="9">
        <v>225.2843066332689</v>
      </c>
      <c r="BT62" s="9">
        <v>195.68284511550763</v>
      </c>
      <c r="BU62" s="9">
        <v>0.79</v>
      </c>
      <c r="BV62" s="9">
        <v>0.71</v>
      </c>
      <c r="BW62" s="9">
        <v>28.56</v>
      </c>
      <c r="BX62" s="9">
        <v>19.870999999999999</v>
      </c>
      <c r="BY62" s="9">
        <v>11.951000000000001</v>
      </c>
      <c r="BZ62" s="9">
        <v>6.8959999999999999</v>
      </c>
      <c r="CA62" s="9">
        <v>22.417444869958747</v>
      </c>
      <c r="CB62" s="9">
        <v>0.37456665507287729</v>
      </c>
      <c r="CC62" s="9">
        <v>394.81932931917993</v>
      </c>
      <c r="CD62" s="9">
        <v>12.37834951571114</v>
      </c>
      <c r="CE62" s="9">
        <v>3.3268311771766648</v>
      </c>
      <c r="CF62" s="9">
        <v>33.436420040037106</v>
      </c>
      <c r="CG62" s="9">
        <v>13.844827368426655</v>
      </c>
      <c r="CH62" s="9">
        <v>9.4340244397263517E-2</v>
      </c>
      <c r="CI62" s="9">
        <v>402.0476621110983</v>
      </c>
      <c r="CJ62" s="9">
        <v>3.874690975970374</v>
      </c>
      <c r="CK62" s="9">
        <v>3.9050471875261636</v>
      </c>
      <c r="CL62" s="9">
        <v>31.391773403074218</v>
      </c>
      <c r="CM62" s="9">
        <v>1352.4523999999999</v>
      </c>
      <c r="CN62" s="9">
        <v>151.6798</v>
      </c>
      <c r="CO62" s="9">
        <v>476.51600000000002</v>
      </c>
      <c r="CP62" s="9">
        <v>1.1214999999999999</v>
      </c>
      <c r="CQ62" s="9">
        <v>1352.4523999999999</v>
      </c>
      <c r="CR62" s="9">
        <v>13.361000000000001</v>
      </c>
      <c r="CS62" s="9">
        <v>5126</v>
      </c>
      <c r="CT62" s="9">
        <v>11.5</v>
      </c>
      <c r="CU62" s="9">
        <v>0.9</v>
      </c>
      <c r="CV62" s="9">
        <v>273.94407869993609</v>
      </c>
      <c r="CW62" s="9">
        <v>0.83</v>
      </c>
      <c r="CX62" s="9">
        <v>17.672970080951874</v>
      </c>
      <c r="CY62" s="9">
        <v>0.21333831595394687</v>
      </c>
      <c r="CZ62" s="9">
        <v>276.25046811000408</v>
      </c>
      <c r="DA62" s="9">
        <v>8.6409666656706836</v>
      </c>
      <c r="DB62" s="9">
        <v>3.9442140443647165</v>
      </c>
      <c r="DC62" s="9">
        <v>39.521038055419922</v>
      </c>
      <c r="DD62" s="9">
        <v>87</v>
      </c>
      <c r="DE62" s="9">
        <v>92</v>
      </c>
      <c r="DF62" s="9">
        <v>123</v>
      </c>
      <c r="DG62" s="9">
        <v>94</v>
      </c>
      <c r="DH62" s="9">
        <v>11</v>
      </c>
      <c r="DI62" s="9">
        <v>6</v>
      </c>
      <c r="DJ62" s="9">
        <v>39.15</v>
      </c>
      <c r="DK62" s="9">
        <v>23.12</v>
      </c>
      <c r="DL62" s="9">
        <v>10.51</v>
      </c>
      <c r="DM62" s="9">
        <v>16.7</v>
      </c>
      <c r="DN62" s="9">
        <f t="shared" si="28"/>
        <v>12.610000000000001</v>
      </c>
      <c r="DO62" s="9">
        <f t="shared" si="29"/>
        <v>0.45458477508650519</v>
      </c>
    </row>
    <row r="63" spans="1:119" x14ac:dyDescent="0.25">
      <c r="A63" s="12">
        <v>5</v>
      </c>
      <c r="B63" s="12">
        <v>6</v>
      </c>
      <c r="C63" s="14" t="s">
        <v>209</v>
      </c>
      <c r="D63" s="8" t="s">
        <v>223</v>
      </c>
      <c r="E63" s="8">
        <v>2</v>
      </c>
      <c r="F63" s="9">
        <v>44.5</v>
      </c>
      <c r="G63" s="9">
        <v>0</v>
      </c>
      <c r="H63" s="9">
        <v>3</v>
      </c>
      <c r="I63" s="9">
        <v>30.4</v>
      </c>
      <c r="J63" s="9">
        <v>0.7</v>
      </c>
      <c r="K63" s="9">
        <v>27.9</v>
      </c>
      <c r="L63" s="9">
        <v>0.45</v>
      </c>
      <c r="M63" s="9">
        <v>0.72300000000000009</v>
      </c>
      <c r="N63" s="9">
        <v>0.154</v>
      </c>
      <c r="O63" s="9">
        <v>0.22650000000000001</v>
      </c>
      <c r="P63" s="9">
        <v>5.0999999999999997E-2</v>
      </c>
      <c r="Q63" s="9">
        <v>7.0012750892590034</v>
      </c>
      <c r="R63" s="9">
        <v>8.1214556099832941E-2</v>
      </c>
      <c r="S63" s="9">
        <v>196.80655819079686</v>
      </c>
      <c r="T63" s="9">
        <v>1.7502992470265444</v>
      </c>
      <c r="U63" s="9">
        <v>2.0674238688451325</v>
      </c>
      <c r="V63" s="9">
        <v>29.697065353393555</v>
      </c>
      <c r="W63" s="9">
        <v>152.0223</v>
      </c>
      <c r="X63" s="9">
        <v>11.157299999999999</v>
      </c>
      <c r="Y63" s="9">
        <v>35.0518</v>
      </c>
      <c r="Z63" s="9">
        <v>0.7339</v>
      </c>
      <c r="AA63" s="9">
        <v>152.0223</v>
      </c>
      <c r="AB63" s="9">
        <v>0.64300000000000002</v>
      </c>
      <c r="AC63" s="9">
        <v>593</v>
      </c>
      <c r="AD63" s="9">
        <v>55.2</v>
      </c>
      <c r="AE63" s="9">
        <v>4</v>
      </c>
      <c r="AF63" s="9">
        <v>12</v>
      </c>
      <c r="AG63" s="9">
        <v>34.6</v>
      </c>
      <c r="AH63" s="9">
        <v>29.5</v>
      </c>
      <c r="AI63" s="9">
        <v>0.6</v>
      </c>
      <c r="AJ63" s="9">
        <v>0.5</v>
      </c>
      <c r="AK63" s="9">
        <v>209.5</v>
      </c>
      <c r="AL63" s="9">
        <v>161.69999999999999</v>
      </c>
      <c r="AM63" s="9">
        <v>0.75</v>
      </c>
      <c r="AN63" s="9">
        <v>0.72</v>
      </c>
      <c r="AO63" s="9">
        <v>6.8739999999999997</v>
      </c>
      <c r="AP63" s="9">
        <v>2.2530000000000001</v>
      </c>
      <c r="AQ63" s="9">
        <v>4.452</v>
      </c>
      <c r="AR63" s="9">
        <v>1.6719999999999999</v>
      </c>
      <c r="AS63" s="9">
        <v>19.399603754654429</v>
      </c>
      <c r="AT63" s="9">
        <v>2.1261819205622638E-2</v>
      </c>
      <c r="AU63" s="9">
        <v>196.07028341060101</v>
      </c>
      <c r="AV63" s="9">
        <v>8.3100251300354824</v>
      </c>
      <c r="AW63" s="9">
        <v>32.68888247735056</v>
      </c>
      <c r="AX63" s="9">
        <v>32.684705353393554</v>
      </c>
      <c r="AY63" s="9">
        <v>8.5420102097589155</v>
      </c>
      <c r="AZ63" s="9">
        <v>1.2105299240106639E-2</v>
      </c>
      <c r="BA63" s="9">
        <v>247.20026469768101</v>
      </c>
      <c r="BB63" s="9">
        <v>3.6881268845376227</v>
      </c>
      <c r="BC63" s="9">
        <v>25.142761049035805</v>
      </c>
      <c r="BD63" s="9">
        <v>27.742732030393555</v>
      </c>
      <c r="BE63" s="9">
        <v>400.1943</v>
      </c>
      <c r="BF63" s="9">
        <v>52.596299999999999</v>
      </c>
      <c r="BG63" s="9">
        <v>165.2362</v>
      </c>
      <c r="BH63" s="9">
        <v>1.3143</v>
      </c>
      <c r="BI63" s="9">
        <v>400.1943</v>
      </c>
      <c r="BJ63" s="9">
        <v>5.4290000000000003</v>
      </c>
      <c r="BK63" s="9">
        <v>1171</v>
      </c>
      <c r="BL63" s="9">
        <v>89.7</v>
      </c>
      <c r="BM63" s="9">
        <v>7</v>
      </c>
      <c r="BN63" s="9">
        <v>26</v>
      </c>
      <c r="BO63" s="9">
        <v>25.3</v>
      </c>
      <c r="BP63" s="9">
        <v>37.200000000000003</v>
      </c>
      <c r="BQ63" s="9">
        <v>1</v>
      </c>
      <c r="BR63" s="9">
        <v>0.9</v>
      </c>
      <c r="BS63" s="9">
        <v>230.67487711071743</v>
      </c>
      <c r="BT63" s="9">
        <v>178.31749468902399</v>
      </c>
      <c r="BU63" s="9">
        <v>0.78</v>
      </c>
      <c r="BV63" s="9">
        <v>0.72</v>
      </c>
      <c r="BW63" s="9">
        <v>26.213000000000001</v>
      </c>
      <c r="BX63" s="9">
        <v>20.456</v>
      </c>
      <c r="BY63" s="9">
        <v>10.731</v>
      </c>
      <c r="BZ63" s="9">
        <v>8.5120000000000005</v>
      </c>
      <c r="CA63" s="9">
        <v>25.293640112293549</v>
      </c>
      <c r="CB63" s="9">
        <v>0.43099139887363214</v>
      </c>
      <c r="CC63" s="9">
        <v>391.25346396560235</v>
      </c>
      <c r="CD63" s="9">
        <v>13.564714795476927</v>
      </c>
      <c r="CE63" s="9">
        <v>3.2044141394380312</v>
      </c>
      <c r="CF63" s="9">
        <v>33.436132030393551</v>
      </c>
      <c r="CG63" s="9">
        <v>12.374097026618802</v>
      </c>
      <c r="CH63" s="9">
        <v>0.15258828225447174</v>
      </c>
      <c r="CI63" s="9">
        <v>404.89334306799714</v>
      </c>
      <c r="CJ63" s="9">
        <v>6.0106727962652666</v>
      </c>
      <c r="CK63" s="9">
        <v>3.791281671812551</v>
      </c>
      <c r="CL63" s="9">
        <v>31.391197383787109</v>
      </c>
      <c r="CM63" s="9">
        <v>1633.8946000000001</v>
      </c>
      <c r="CN63" s="9">
        <v>279.64370000000002</v>
      </c>
      <c r="CO63" s="9">
        <v>478.5265</v>
      </c>
      <c r="CP63" s="9">
        <v>1.7115</v>
      </c>
      <c r="CQ63" s="9">
        <v>1633.8946000000001</v>
      </c>
      <c r="CR63" s="9">
        <v>37.590000000000003</v>
      </c>
      <c r="CS63" s="9">
        <v>8276</v>
      </c>
      <c r="CT63" s="9">
        <v>11.4</v>
      </c>
      <c r="CU63" s="9">
        <v>0.9</v>
      </c>
      <c r="CV63" s="9">
        <v>265.50736704822253</v>
      </c>
      <c r="CW63" s="9">
        <v>0.83</v>
      </c>
      <c r="CX63" s="9">
        <v>17.891956907149741</v>
      </c>
      <c r="CY63" s="9">
        <v>0.21273040257141534</v>
      </c>
      <c r="CZ63" s="9">
        <v>274.1963898905621</v>
      </c>
      <c r="DA63" s="9">
        <v>8.6176586273968834</v>
      </c>
      <c r="DB63" s="9">
        <v>3.9443331236698254</v>
      </c>
      <c r="DC63" s="9">
        <v>39.519313812255859</v>
      </c>
      <c r="DD63" s="9">
        <v>87</v>
      </c>
      <c r="DE63" s="9">
        <v>92</v>
      </c>
      <c r="DF63" s="9">
        <v>123</v>
      </c>
      <c r="DG63" s="9">
        <v>102</v>
      </c>
      <c r="DH63" s="9">
        <v>10</v>
      </c>
      <c r="DI63" s="9">
        <v>6</v>
      </c>
      <c r="DJ63" s="9">
        <v>19.559999999999999</v>
      </c>
      <c r="DK63" s="9">
        <v>22.97</v>
      </c>
      <c r="DL63" s="9">
        <v>10.24</v>
      </c>
      <c r="DM63" s="9">
        <v>16.2</v>
      </c>
      <c r="DN63" s="9">
        <f t="shared" si="28"/>
        <v>12.729999999999999</v>
      </c>
      <c r="DO63" s="9">
        <f t="shared" si="29"/>
        <v>0.44579886808881153</v>
      </c>
    </row>
    <row r="64" spans="1:119" x14ac:dyDescent="0.25">
      <c r="A64" s="12">
        <v>6</v>
      </c>
      <c r="B64" s="12">
        <v>6</v>
      </c>
      <c r="C64" s="14" t="s">
        <v>209</v>
      </c>
      <c r="D64" s="8" t="s">
        <v>223</v>
      </c>
      <c r="E64" s="8">
        <v>3</v>
      </c>
      <c r="F64" s="9">
        <v>45</v>
      </c>
      <c r="G64" s="9">
        <v>0</v>
      </c>
      <c r="H64" s="9">
        <v>3</v>
      </c>
      <c r="I64" s="9">
        <v>31.3</v>
      </c>
      <c r="J64" s="9">
        <v>0.5</v>
      </c>
      <c r="K64" s="9">
        <v>25.4</v>
      </c>
      <c r="L64" s="9">
        <v>0.2</v>
      </c>
      <c r="M64" s="9">
        <v>0.54320000000000002</v>
      </c>
      <c r="N64" s="9">
        <v>0.21299999999999999</v>
      </c>
      <c r="O64" s="9">
        <v>0.21540000000000001</v>
      </c>
      <c r="P64" s="9">
        <v>5.1999999999999998E-2</v>
      </c>
      <c r="Q64" s="9">
        <v>7.4293686031014161</v>
      </c>
      <c r="R64" s="9">
        <v>8.0927307056317524E-2</v>
      </c>
      <c r="S64" s="9">
        <v>187.85922376544121</v>
      </c>
      <c r="T64" s="9">
        <v>1.745346425213395</v>
      </c>
      <c r="U64" s="9">
        <v>2.0687706364846496</v>
      </c>
      <c r="V64" s="9">
        <v>29.697235107421875</v>
      </c>
      <c r="W64" s="9">
        <v>133.6223</v>
      </c>
      <c r="X64" s="9">
        <f>AVERAGE(X62:X63)</f>
        <v>13.5152</v>
      </c>
      <c r="Y64" s="9">
        <v>28.1952</v>
      </c>
      <c r="Z64" s="9">
        <v>0.67169999999999996</v>
      </c>
      <c r="AA64" s="9">
        <v>133.6223</v>
      </c>
      <c r="AB64" s="9">
        <v>0.47299999999999998</v>
      </c>
      <c r="AC64" s="9">
        <v>394</v>
      </c>
      <c r="AD64" s="9">
        <v>49.3</v>
      </c>
      <c r="AE64" s="9">
        <v>4</v>
      </c>
      <c r="AF64" s="9">
        <v>9</v>
      </c>
      <c r="AG64" s="9">
        <v>28.1</v>
      </c>
      <c r="AH64" s="9">
        <v>16.399999999999999</v>
      </c>
      <c r="AI64" s="9">
        <v>0.7</v>
      </c>
      <c r="AJ64" s="9">
        <v>0.4</v>
      </c>
      <c r="AK64" s="9">
        <v>254.3</v>
      </c>
      <c r="AL64" s="9">
        <v>181.6</v>
      </c>
      <c r="AM64" s="9">
        <v>0.76</v>
      </c>
      <c r="AN64" s="9">
        <v>0.69</v>
      </c>
      <c r="AO64" s="9">
        <v>4.4210000000000003</v>
      </c>
      <c r="AP64" s="9">
        <v>1.964</v>
      </c>
      <c r="AQ64" s="9">
        <v>3.5179999999999998</v>
      </c>
      <c r="AR64" s="9">
        <v>1.0980000000000001</v>
      </c>
      <c r="AS64" s="9">
        <v>26.70174670839409</v>
      </c>
      <c r="AT64" s="9">
        <v>4.3016764092902594E-2</v>
      </c>
      <c r="AU64" s="9">
        <v>244.86350694407264</v>
      </c>
      <c r="AV64" s="9">
        <v>11.174325678016206</v>
      </c>
      <c r="AW64" s="9">
        <v>22.043472252838647</v>
      </c>
      <c r="AX64" s="9">
        <v>32.684875107421874</v>
      </c>
      <c r="AY64" s="9">
        <v>15.569380837555013</v>
      </c>
      <c r="AZ64" s="9">
        <v>2.8664116929487848E-2</v>
      </c>
      <c r="BA64" s="9">
        <v>244.6219440238263</v>
      </c>
      <c r="BB64" s="9">
        <v>8.370486285143226</v>
      </c>
      <c r="BC64" s="9">
        <v>24.257214394676275</v>
      </c>
      <c r="BD64" s="9">
        <v>27.742901784421875</v>
      </c>
      <c r="BE64" s="9">
        <v>196.4999</v>
      </c>
      <c r="BF64" s="9">
        <v>16.662600000000001</v>
      </c>
      <c r="BG64" s="9">
        <v>52.347200000000001</v>
      </c>
      <c r="BH64" s="9">
        <v>0.84799999999999998</v>
      </c>
      <c r="BI64" s="9">
        <v>196.4999</v>
      </c>
      <c r="BJ64" s="9">
        <v>1.1100000000000001</v>
      </c>
      <c r="BK64" s="9">
        <v>653</v>
      </c>
      <c r="BL64" s="9">
        <v>89.1</v>
      </c>
      <c r="BM64" s="9">
        <v>7</v>
      </c>
      <c r="BN64" s="9">
        <v>28</v>
      </c>
      <c r="BO64" s="9">
        <v>30.1</v>
      </c>
      <c r="BP64" s="9">
        <v>36.299999999999997</v>
      </c>
      <c r="BQ64" s="9">
        <v>1</v>
      </c>
      <c r="BR64" s="9">
        <v>0.9</v>
      </c>
      <c r="BS64" s="9">
        <v>246.57672602680049</v>
      </c>
      <c r="BT64" s="9">
        <v>174.37915463062626</v>
      </c>
      <c r="BU64" s="9">
        <v>0.76</v>
      </c>
      <c r="BV64" s="9">
        <v>0.69</v>
      </c>
      <c r="BW64" s="9">
        <v>24.780999999999999</v>
      </c>
      <c r="BX64" s="9">
        <v>18.765000000000001</v>
      </c>
      <c r="BY64" s="9">
        <v>13.345000000000001</v>
      </c>
      <c r="BZ64" s="9">
        <v>8.6150000000000002</v>
      </c>
      <c r="CA64" s="9">
        <v>20.550748670816308</v>
      </c>
      <c r="CB64" s="9">
        <v>0.2430340095446489</v>
      </c>
      <c r="CC64" s="9">
        <v>393.29476441746704</v>
      </c>
      <c r="CD64" s="9">
        <v>9.0017526827861953</v>
      </c>
      <c r="CE64" s="9">
        <v>3.6342229525468581</v>
      </c>
      <c r="CF64" s="9">
        <v>33.436301784421872</v>
      </c>
      <c r="CG64" s="9">
        <v>5.9102127928059005</v>
      </c>
      <c r="CH64" s="9">
        <v>0.1061436250998824</v>
      </c>
      <c r="CI64" s="9">
        <v>412.82165217339087</v>
      </c>
      <c r="CJ64" s="9">
        <v>4.1200336355980163</v>
      </c>
      <c r="CK64" s="9">
        <v>3.7063500602332651</v>
      </c>
      <c r="CL64" s="9">
        <v>31.391536891843749</v>
      </c>
      <c r="CM64" s="9">
        <f>AVERAGE(CM62:CM63)</f>
        <v>1493.1734999999999</v>
      </c>
      <c r="CN64" s="9">
        <f>AVERAGE(CN62:CN63)</f>
        <v>215.66175000000001</v>
      </c>
      <c r="CO64" s="9">
        <f>AVERAGE(CO62:CO63)</f>
        <v>477.52125000000001</v>
      </c>
      <c r="CP64" s="9">
        <v>1.0677000000000001</v>
      </c>
      <c r="CQ64" s="9">
        <f>AVERAGE(CQ62:CQ63)</f>
        <v>1493.1734999999999</v>
      </c>
      <c r="CR64" s="9">
        <v>37.546999999999997</v>
      </c>
      <c r="CS64" s="9">
        <v>1402</v>
      </c>
      <c r="CT64" s="9">
        <v>11.1</v>
      </c>
      <c r="CU64" s="9">
        <v>0.9</v>
      </c>
      <c r="CV64" s="9">
        <v>275.61951264135126</v>
      </c>
      <c r="CW64" s="9">
        <v>0.82</v>
      </c>
      <c r="CX64" s="9">
        <v>17.86142127517461</v>
      </c>
      <c r="CY64" s="9">
        <v>0.21206605987782323</v>
      </c>
      <c r="CZ64" s="9">
        <v>274.02237920324939</v>
      </c>
      <c r="DA64" s="9">
        <v>8.5962941956433632</v>
      </c>
      <c r="DB64" s="9">
        <v>3.9462937394100353</v>
      </c>
      <c r="DC64" s="9">
        <v>39.522476196289063</v>
      </c>
      <c r="DD64" s="9">
        <v>87</v>
      </c>
      <c r="DE64" s="9">
        <v>92</v>
      </c>
      <c r="DF64" s="9">
        <v>123</v>
      </c>
      <c r="DG64" s="9">
        <v>109</v>
      </c>
      <c r="DH64" s="9">
        <v>10</v>
      </c>
      <c r="DI64" s="9">
        <v>6</v>
      </c>
      <c r="DJ64" s="9">
        <v>39.17</v>
      </c>
      <c r="DK64" s="9">
        <v>23.05</v>
      </c>
      <c r="DL64" s="9">
        <v>10.94</v>
      </c>
      <c r="DM64" s="9">
        <v>16.3</v>
      </c>
      <c r="DN64" s="9">
        <f t="shared" si="28"/>
        <v>12.110000000000001</v>
      </c>
      <c r="DO64" s="9">
        <f t="shared" si="29"/>
        <v>0.47462039045553139</v>
      </c>
    </row>
    <row r="65" spans="1:119" x14ac:dyDescent="0.25">
      <c r="A65" s="12">
        <v>4</v>
      </c>
      <c r="B65" s="12">
        <v>7</v>
      </c>
      <c r="C65" s="14" t="s">
        <v>211</v>
      </c>
      <c r="D65" s="8" t="s">
        <v>223</v>
      </c>
      <c r="E65" s="8">
        <v>1</v>
      </c>
      <c r="F65" s="9">
        <v>45</v>
      </c>
      <c r="G65" s="9">
        <v>0</v>
      </c>
      <c r="H65" s="9">
        <v>4</v>
      </c>
      <c r="I65" s="9">
        <v>21.5</v>
      </c>
      <c r="J65" s="9">
        <v>0.4</v>
      </c>
      <c r="K65" s="9">
        <v>14.9</v>
      </c>
      <c r="L65" s="9">
        <v>0.3</v>
      </c>
      <c r="M65" s="9">
        <v>0.29799999999999999</v>
      </c>
      <c r="N65" s="9">
        <v>0.123</v>
      </c>
      <c r="O65" s="9">
        <v>0.111</v>
      </c>
      <c r="P65" s="9">
        <v>5.1999999999999998E-2</v>
      </c>
      <c r="Q65" s="9">
        <v>8.2714253219534228</v>
      </c>
      <c r="R65" s="9">
        <v>8.1493694601136174E-2</v>
      </c>
      <c r="S65" s="9">
        <v>172.44146687812201</v>
      </c>
      <c r="T65" s="9">
        <v>1.7540637520125624</v>
      </c>
      <c r="U65" s="9">
        <v>2.0649909632959766</v>
      </c>
      <c r="V65" s="9">
        <v>29.672426223754883</v>
      </c>
      <c r="W65" s="9">
        <v>56.552</v>
      </c>
      <c r="X65" s="9">
        <v>2.7826</v>
      </c>
      <c r="Y65" s="9">
        <v>8.7418999999999993</v>
      </c>
      <c r="Z65" s="9">
        <v>0.49209999999999998</v>
      </c>
      <c r="AA65" s="9">
        <v>56.552</v>
      </c>
      <c r="AB65" s="9">
        <v>0.108</v>
      </c>
      <c r="AC65" s="9">
        <f>AVERAGE(AC66:AC67)</f>
        <v>416.5</v>
      </c>
      <c r="AD65" s="9">
        <v>54.2</v>
      </c>
      <c r="AE65" s="9">
        <v>4</v>
      </c>
      <c r="AF65" s="9">
        <v>10</v>
      </c>
      <c r="AG65" s="9">
        <v>37.4</v>
      </c>
      <c r="AH65" s="9">
        <v>28.5</v>
      </c>
      <c r="AI65" s="9">
        <v>0.8</v>
      </c>
      <c r="AJ65" s="9">
        <v>0.6</v>
      </c>
      <c r="AK65" s="9">
        <v>212.8</v>
      </c>
      <c r="AL65" s="9">
        <v>121.8</v>
      </c>
      <c r="AM65" s="9">
        <v>0.75</v>
      </c>
      <c r="AN65" s="9">
        <v>0.67</v>
      </c>
      <c r="AO65" s="9">
        <v>4.3239999999999998</v>
      </c>
      <c r="AP65" s="9">
        <v>2.0649999999999999</v>
      </c>
      <c r="AQ65" s="9">
        <v>3.641</v>
      </c>
      <c r="AR65" s="9">
        <v>1.1419999999999999</v>
      </c>
      <c r="AS65" s="9">
        <v>21.866116810933406</v>
      </c>
      <c r="AT65" s="9">
        <v>3.8211672089891902E-2</v>
      </c>
      <c r="AU65" s="9">
        <v>226.4007926303546</v>
      </c>
      <c r="AV65" s="9">
        <v>11.513272097933765</v>
      </c>
      <c r="AW65" s="9">
        <v>26.171778921865389</v>
      </c>
      <c r="AX65" s="9">
        <v>32.660066223754882</v>
      </c>
      <c r="AY65" s="9">
        <v>17.052662822641711</v>
      </c>
      <c r="AZ65" s="9">
        <v>1.5615511077276592E-2</v>
      </c>
      <c r="BA65" s="9">
        <v>158.19397953771946</v>
      </c>
      <c r="BB65" s="9">
        <v>7.7264318562167968</v>
      </c>
      <c r="BC65" s="9">
        <v>39.799700559015626</v>
      </c>
      <c r="BD65" s="9">
        <v>27.718092900754883</v>
      </c>
      <c r="BE65" s="9">
        <v>390.89260000000002</v>
      </c>
      <c r="BF65" s="9">
        <v>43.020600000000002</v>
      </c>
      <c r="BG65" s="9">
        <v>135.15309999999999</v>
      </c>
      <c r="BH65" s="9">
        <v>1.1006</v>
      </c>
      <c r="BI65" s="9">
        <v>390.89260000000002</v>
      </c>
      <c r="BJ65" s="9">
        <v>3.7189999999999999</v>
      </c>
      <c r="BK65" s="9">
        <v>1427</v>
      </c>
      <c r="BL65" s="9">
        <v>93.5</v>
      </c>
      <c r="BM65" s="9">
        <v>5</v>
      </c>
      <c r="BN65" s="9">
        <v>18</v>
      </c>
      <c r="BO65" s="9">
        <v>28.7</v>
      </c>
      <c r="BP65" s="9">
        <v>34.799999999999997</v>
      </c>
      <c r="BQ65" s="9">
        <v>0.7</v>
      </c>
      <c r="BR65" s="9">
        <v>0.9</v>
      </c>
      <c r="BS65" s="9">
        <v>256.96774120462396</v>
      </c>
      <c r="BT65" s="9">
        <v>172.39847386418757</v>
      </c>
      <c r="BU65" s="9">
        <v>0.79</v>
      </c>
      <c r="BV65" s="9">
        <v>0.67</v>
      </c>
      <c r="BW65" s="9">
        <v>19.315999999999999</v>
      </c>
      <c r="BX65" s="9">
        <v>15.622999999999999</v>
      </c>
      <c r="BY65" s="9">
        <v>8.923</v>
      </c>
      <c r="BZ65" s="9">
        <v>4.3570000000000002</v>
      </c>
      <c r="CA65" s="9">
        <v>19.984341093043007</v>
      </c>
      <c r="CB65" s="9">
        <v>0.20905355245522853</v>
      </c>
      <c r="CC65" s="9">
        <v>388.8606767787046</v>
      </c>
      <c r="CD65" s="9">
        <v>8.3459125586144491</v>
      </c>
      <c r="CE65" s="9">
        <v>3.8856527475428995</v>
      </c>
      <c r="CF65" s="9">
        <v>33.41149290075488</v>
      </c>
      <c r="CG65" s="9">
        <v>7.2217811607872013</v>
      </c>
      <c r="CH65" s="9">
        <v>7.9865724906510047E-2</v>
      </c>
      <c r="CI65" s="9">
        <v>407.72517301791493</v>
      </c>
      <c r="CJ65" s="9">
        <v>3.5171142418171373</v>
      </c>
      <c r="CK65" s="9">
        <v>4.1720537861586804</v>
      </c>
      <c r="CL65" s="9">
        <v>31.341919124509765</v>
      </c>
      <c r="CM65" s="9">
        <f>AVERAGE(CM66:CM67)</f>
        <v>1151.286775</v>
      </c>
      <c r="CN65" s="9">
        <v>146.25479999999999</v>
      </c>
      <c r="CO65" s="9">
        <v>459.47289999999998</v>
      </c>
      <c r="CP65" s="9">
        <v>2.1385999999999998</v>
      </c>
      <c r="CQ65" s="9">
        <f>AVERAGE(CQ66:CQ67)</f>
        <v>1151.286775</v>
      </c>
      <c r="CR65" s="9">
        <v>24.565000000000001</v>
      </c>
      <c r="CS65" s="9">
        <v>3890</v>
      </c>
      <c r="CT65" s="9">
        <v>24.5</v>
      </c>
      <c r="CU65" s="9">
        <v>0.9</v>
      </c>
      <c r="CV65" s="9">
        <v>258.68415098065896</v>
      </c>
      <c r="CW65" s="9">
        <v>0.81</v>
      </c>
      <c r="CX65" s="9">
        <v>15.698042678538448</v>
      </c>
      <c r="CY65" s="9">
        <v>0.23108152460629983</v>
      </c>
      <c r="CZ65" s="9">
        <v>301.49740268497504</v>
      </c>
      <c r="DA65" s="9">
        <v>8.9496212191524354</v>
      </c>
      <c r="DB65" s="9">
        <v>3.7880532987166813</v>
      </c>
      <c r="DC65" s="9">
        <v>39.177394866943359</v>
      </c>
      <c r="DD65" s="9">
        <v>75</v>
      </c>
      <c r="DE65" s="9">
        <v>79</v>
      </c>
      <c r="DF65" s="9">
        <v>110</v>
      </c>
      <c r="DG65" s="9">
        <v>105</v>
      </c>
      <c r="DH65" s="9">
        <v>6</v>
      </c>
      <c r="DI65" s="9">
        <v>4</v>
      </c>
      <c r="DJ65" s="9">
        <v>42.15</v>
      </c>
      <c r="DK65" s="9">
        <v>21.52</v>
      </c>
      <c r="DL65" s="9">
        <v>9.8000000000000007</v>
      </c>
      <c r="DM65" s="9">
        <v>15.95</v>
      </c>
      <c r="DN65" s="9">
        <f t="shared" si="28"/>
        <v>11.719999999999999</v>
      </c>
      <c r="DO65" s="9">
        <f t="shared" si="29"/>
        <v>0.45539033457249073</v>
      </c>
    </row>
    <row r="66" spans="1:119" x14ac:dyDescent="0.25">
      <c r="A66" s="12">
        <v>5</v>
      </c>
      <c r="B66" s="12">
        <v>7</v>
      </c>
      <c r="C66" s="14" t="s">
        <v>211</v>
      </c>
      <c r="D66" s="8" t="s">
        <v>223</v>
      </c>
      <c r="E66" s="8">
        <v>2</v>
      </c>
      <c r="F66" s="9">
        <v>29.1</v>
      </c>
      <c r="G66" s="9">
        <v>0</v>
      </c>
      <c r="H66" s="9">
        <v>3</v>
      </c>
      <c r="I66" s="9">
        <v>15.4</v>
      </c>
      <c r="J66" s="9">
        <v>0.2</v>
      </c>
      <c r="K66" s="9">
        <v>12.7</v>
      </c>
      <c r="L66" s="9">
        <v>0.2</v>
      </c>
      <c r="M66" s="9">
        <v>0.24399999999999999</v>
      </c>
      <c r="N66" s="9">
        <v>0.126</v>
      </c>
      <c r="O66" s="9">
        <v>0.10100000000000001</v>
      </c>
      <c r="P66" s="9">
        <v>4.9000000000000002E-2</v>
      </c>
      <c r="Q66" s="9">
        <v>8.7847187401999438</v>
      </c>
      <c r="R66" s="9">
        <v>8.2568762778033905E-2</v>
      </c>
      <c r="S66" s="9">
        <v>164.77955122253218</v>
      </c>
      <c r="T66" s="9">
        <v>1.7741104640063847</v>
      </c>
      <c r="U66" s="9">
        <v>2.0619231735774362</v>
      </c>
      <c r="V66" s="9">
        <v>29.65483283996582</v>
      </c>
      <c r="W66" s="9">
        <v>83.229100000000003</v>
      </c>
      <c r="X66" s="9">
        <v>2.9089999999999998</v>
      </c>
      <c r="Y66" s="9">
        <v>9.1388999999999996</v>
      </c>
      <c r="Z66" s="9">
        <v>0.34949999999999998</v>
      </c>
      <c r="AA66" s="9">
        <v>83.229100000000003</v>
      </c>
      <c r="AB66" s="9">
        <v>0.08</v>
      </c>
      <c r="AC66" s="9">
        <v>429</v>
      </c>
      <c r="AD66" s="9">
        <v>59.3</v>
      </c>
      <c r="AE66" s="9">
        <v>4</v>
      </c>
      <c r="AF66" s="9">
        <v>13</v>
      </c>
      <c r="AG66" s="9">
        <v>39.4</v>
      </c>
      <c r="AH66" s="9">
        <v>30.3</v>
      </c>
      <c r="AI66" s="9">
        <v>0.7</v>
      </c>
      <c r="AJ66" s="9">
        <v>0.4</v>
      </c>
      <c r="AK66" s="9">
        <v>251.8</v>
      </c>
      <c r="AL66" s="9">
        <v>134.80000000000001</v>
      </c>
      <c r="AM66" s="9">
        <v>0.79</v>
      </c>
      <c r="AN66" s="9">
        <v>0.65</v>
      </c>
      <c r="AO66" s="9">
        <v>5.0309999999999997</v>
      </c>
      <c r="AP66" s="9">
        <v>1.5649999999999999</v>
      </c>
      <c r="AQ66" s="9">
        <v>3.5569999999999999</v>
      </c>
      <c r="AR66" s="9">
        <v>1.0089999999999999</v>
      </c>
      <c r="AS66" s="9">
        <v>25.880947891950751</v>
      </c>
      <c r="AT66" s="9">
        <v>5.0456385242150105E-2</v>
      </c>
      <c r="AU66" s="9">
        <v>258.35647527157204</v>
      </c>
      <c r="AV66" s="9">
        <v>11.878589207962602</v>
      </c>
      <c r="AW66" s="9">
        <v>20.110633841318183</v>
      </c>
      <c r="AX66" s="9">
        <v>32.642472839965819</v>
      </c>
      <c r="AY66" s="9">
        <v>10.064286539421555</v>
      </c>
      <c r="AZ66" s="9">
        <v>1.1516702054061722E-2</v>
      </c>
      <c r="BA66" s="9">
        <v>245.19610454582636</v>
      </c>
      <c r="BB66" s="9">
        <v>3.5035806157616505</v>
      </c>
      <c r="BC66" s="9">
        <v>25.118969572390785</v>
      </c>
      <c r="BD66" s="9">
        <v>27.70049951696582</v>
      </c>
      <c r="BE66" s="9">
        <v>317.66969999999998</v>
      </c>
      <c r="BF66" s="9">
        <v>32.455399999999997</v>
      </c>
      <c r="BG66" s="9">
        <v>101.9616</v>
      </c>
      <c r="BH66" s="9">
        <v>1.0217000000000001</v>
      </c>
      <c r="BI66" s="9">
        <v>317.66969999999998</v>
      </c>
      <c r="BJ66" s="9">
        <v>2.6040000000000001</v>
      </c>
      <c r="BK66" s="9">
        <v>1368</v>
      </c>
      <c r="BL66" s="9">
        <v>92.8</v>
      </c>
      <c r="BM66" s="9">
        <v>7</v>
      </c>
      <c r="BN66" s="9">
        <v>25</v>
      </c>
      <c r="BO66" s="9">
        <v>28.2</v>
      </c>
      <c r="BP66" s="9">
        <v>33.700000000000003</v>
      </c>
      <c r="BQ66" s="9">
        <v>0.7</v>
      </c>
      <c r="BR66" s="9">
        <v>1</v>
      </c>
      <c r="BS66" s="9">
        <v>248.31981629108327</v>
      </c>
      <c r="BT66" s="9">
        <v>176.35212075207826</v>
      </c>
      <c r="BU66" s="9">
        <v>0.79</v>
      </c>
      <c r="BV66" s="9">
        <v>0.65</v>
      </c>
      <c r="BW66" s="9">
        <v>21.681000000000001</v>
      </c>
      <c r="BX66" s="9">
        <v>17.259</v>
      </c>
      <c r="BY66" s="9">
        <v>7.8650000000000002</v>
      </c>
      <c r="BZ66" s="9">
        <v>5.0140000000000002</v>
      </c>
      <c r="CA66" s="9">
        <v>19.840418633256345</v>
      </c>
      <c r="CB66" s="9">
        <v>0.2089200555531337</v>
      </c>
      <c r="CC66" s="9">
        <v>389.02432881852542</v>
      </c>
      <c r="CD66" s="9">
        <v>8.3407409977605234</v>
      </c>
      <c r="CE66" s="9">
        <v>3.8855907209885392</v>
      </c>
      <c r="CF66" s="9">
        <v>33.393899516965817</v>
      </c>
      <c r="CG66" s="9">
        <v>7.4286520958556315</v>
      </c>
      <c r="CH66" s="9">
        <v>7.916833177427908E-2</v>
      </c>
      <c r="CI66" s="9">
        <v>407.4658185287351</v>
      </c>
      <c r="CJ66" s="9">
        <v>3.4885128177365763</v>
      </c>
      <c r="CK66" s="9">
        <v>4.1739572709533235</v>
      </c>
      <c r="CL66" s="9">
        <v>31.30673235693164</v>
      </c>
      <c r="CM66" s="9">
        <v>1307.0854999999999</v>
      </c>
      <c r="CN66" s="9">
        <v>181.3081</v>
      </c>
      <c r="CO66" s="9">
        <v>569.596</v>
      </c>
      <c r="CP66" s="9">
        <v>1.3871</v>
      </c>
      <c r="CQ66" s="9">
        <v>1307.0854999999999</v>
      </c>
      <c r="CR66" s="9">
        <v>19.751999999999999</v>
      </c>
      <c r="CS66" s="9">
        <v>5041</v>
      </c>
      <c r="CT66" s="9">
        <v>22</v>
      </c>
      <c r="CU66" s="9">
        <v>1</v>
      </c>
      <c r="CV66" s="9">
        <v>270.58141863344827</v>
      </c>
      <c r="CW66" s="9">
        <v>0.81</v>
      </c>
      <c r="CX66" s="9">
        <v>15.709911004046381</v>
      </c>
      <c r="CY66" s="9">
        <v>0.23076435309506332</v>
      </c>
      <c r="CZ66" s="9">
        <v>301.26001497191965</v>
      </c>
      <c r="DA66" s="9">
        <v>8.9380716652599581</v>
      </c>
      <c r="DB66" s="9">
        <v>3.7881140910497435</v>
      </c>
      <c r="DC66" s="9">
        <v>39.176467895507813</v>
      </c>
      <c r="DD66" s="9">
        <v>75</v>
      </c>
      <c r="DE66" s="9">
        <v>79</v>
      </c>
      <c r="DF66" s="9">
        <v>110</v>
      </c>
      <c r="DG66" s="9">
        <v>94</v>
      </c>
      <c r="DH66" s="9">
        <v>11</v>
      </c>
      <c r="DI66" s="9">
        <v>8</v>
      </c>
      <c r="DJ66" s="9">
        <v>43.145000000000003</v>
      </c>
      <c r="DK66" s="9">
        <v>22.952000000000002</v>
      </c>
      <c r="DL66" s="9">
        <v>10.95</v>
      </c>
      <c r="DM66" s="9">
        <v>16.52</v>
      </c>
      <c r="DN66" s="9">
        <f t="shared" ref="DN66:DN91" si="43">DK66-DL66</f>
        <v>12.002000000000002</v>
      </c>
      <c r="DO66" s="9">
        <f t="shared" ref="DO66:DO91" si="44">DL66/DK66</f>
        <v>0.47708260718020207</v>
      </c>
    </row>
    <row r="67" spans="1:119" x14ac:dyDescent="0.25">
      <c r="A67" s="12">
        <v>6</v>
      </c>
      <c r="B67" s="12">
        <v>7</v>
      </c>
      <c r="C67" s="14" t="s">
        <v>211</v>
      </c>
      <c r="D67" s="8" t="s">
        <v>223</v>
      </c>
      <c r="E67" s="8">
        <v>3</v>
      </c>
      <c r="F67" s="9">
        <v>30.9</v>
      </c>
      <c r="G67" s="9">
        <v>0</v>
      </c>
      <c r="H67" s="9">
        <v>3</v>
      </c>
      <c r="I67" s="9">
        <v>17.2</v>
      </c>
      <c r="J67" s="9">
        <v>0.4</v>
      </c>
      <c r="K67" s="9">
        <v>14.7</v>
      </c>
      <c r="L67" s="9">
        <v>0.3</v>
      </c>
      <c r="M67" s="9">
        <v>0.23699999999999999</v>
      </c>
      <c r="N67" s="9">
        <v>0.13700000000000001</v>
      </c>
      <c r="O67" s="9">
        <v>0.11799999999999999</v>
      </c>
      <c r="P67" s="9">
        <v>4.2000000000000003E-2</v>
      </c>
      <c r="Q67" s="9">
        <v>10.927255238782267</v>
      </c>
      <c r="R67" s="9">
        <v>0.14266873546017833</v>
      </c>
      <c r="S67" s="9">
        <v>199.37645666666191</v>
      </c>
      <c r="T67" s="9">
        <v>2.9483609084952338</v>
      </c>
      <c r="U67" s="9">
        <v>2.0907761304692469</v>
      </c>
      <c r="V67" s="9">
        <v>27.775532150268553</v>
      </c>
      <c r="W67" s="9">
        <v>96.647099999999995</v>
      </c>
      <c r="X67" s="9">
        <f>AVERAGE(X65:X66)</f>
        <v>2.8457999999999997</v>
      </c>
      <c r="Y67" s="9">
        <f>AVERAGE(Y65:Y66)</f>
        <v>8.9404000000000003</v>
      </c>
      <c r="Z67" s="9">
        <v>0.41710000000000003</v>
      </c>
      <c r="AA67" s="9">
        <v>96.647099999999995</v>
      </c>
      <c r="AB67" s="9">
        <v>0.13200000000000001</v>
      </c>
      <c r="AC67" s="9">
        <v>404</v>
      </c>
      <c r="AD67" s="9">
        <v>73</v>
      </c>
      <c r="AE67" s="9">
        <v>4</v>
      </c>
      <c r="AF67" s="9">
        <v>10</v>
      </c>
      <c r="AG67" s="9">
        <v>52.3</v>
      </c>
      <c r="AH67" s="9">
        <v>24.3</v>
      </c>
      <c r="AI67" s="9">
        <v>0.8</v>
      </c>
      <c r="AJ67" s="9">
        <v>0.6</v>
      </c>
      <c r="AK67" s="9">
        <v>247.6</v>
      </c>
      <c r="AL67" s="9">
        <v>120.6</v>
      </c>
      <c r="AM67" s="9">
        <v>0.76</v>
      </c>
      <c r="AN67" s="9">
        <v>0.61</v>
      </c>
      <c r="AO67" s="9">
        <v>5.3419999999999996</v>
      </c>
      <c r="AP67" s="9">
        <v>1.675</v>
      </c>
      <c r="AQ67" s="9">
        <v>3.2709999999999999</v>
      </c>
      <c r="AR67" s="9">
        <v>9.9000000000000005E-2</v>
      </c>
      <c r="AS67" s="9">
        <v>20.223615925503481</v>
      </c>
      <c r="AT67" s="9">
        <v>1.973077837016653E-2</v>
      </c>
      <c r="AU67" s="9">
        <v>149.73562568817329</v>
      </c>
      <c r="AV67" s="9">
        <v>10.503189591617078</v>
      </c>
      <c r="AW67" s="9">
        <v>40.679045824133311</v>
      </c>
      <c r="AX67" s="9">
        <v>30.763172150268552</v>
      </c>
      <c r="AY67" s="9">
        <v>3.2720018057989897</v>
      </c>
      <c r="AZ67" s="9">
        <v>3.4868593095284451E-3</v>
      </c>
      <c r="BA67" s="9">
        <v>208.54550439816171</v>
      </c>
      <c r="BB67" s="9">
        <v>1.3720418322133614</v>
      </c>
      <c r="BC67" s="9">
        <v>32.50707316668975</v>
      </c>
      <c r="BD67" s="9">
        <v>25.821198827268553</v>
      </c>
      <c r="BE67" s="9">
        <f>AVERAGE(BE65:BE66)</f>
        <v>354.28115000000003</v>
      </c>
      <c r="BF67" s="9">
        <f t="shared" ref="BF67:BJ67" si="45">AVERAGE(BF65:BF66)</f>
        <v>37.738</v>
      </c>
      <c r="BG67" s="9">
        <f t="shared" si="45"/>
        <v>118.55735</v>
      </c>
      <c r="BH67" s="9">
        <f t="shared" si="45"/>
        <v>1.06115</v>
      </c>
      <c r="BI67" s="9">
        <f t="shared" si="45"/>
        <v>354.28115000000003</v>
      </c>
      <c r="BJ67" s="9">
        <f t="shared" si="45"/>
        <v>3.1615000000000002</v>
      </c>
      <c r="BK67" s="9">
        <v>504</v>
      </c>
      <c r="BL67" s="9">
        <v>92.1</v>
      </c>
      <c r="BM67" s="9">
        <v>7</v>
      </c>
      <c r="BN67" s="9">
        <v>24</v>
      </c>
      <c r="BO67" s="9">
        <v>28.1</v>
      </c>
      <c r="BP67" s="9">
        <v>33.200000000000003</v>
      </c>
      <c r="BQ67" s="9">
        <v>0.7</v>
      </c>
      <c r="BR67" s="9">
        <v>1</v>
      </c>
      <c r="BS67" s="9">
        <v>237.79100293805442</v>
      </c>
      <c r="BT67" s="9">
        <v>188.03453858994482</v>
      </c>
      <c r="BU67" s="9">
        <v>0.78</v>
      </c>
      <c r="BV67" s="9">
        <v>0.61</v>
      </c>
      <c r="BW67" s="9">
        <v>22.603999999999999</v>
      </c>
      <c r="BX67" s="9">
        <v>16.527000000000001</v>
      </c>
      <c r="BY67" s="9">
        <v>8.65</v>
      </c>
      <c r="BZ67" s="9"/>
      <c r="CA67" s="9">
        <v>19.151798626174056</v>
      </c>
      <c r="CB67" s="9">
        <v>0.30092559440236993</v>
      </c>
      <c r="CC67" s="9">
        <v>395.75354445187338</v>
      </c>
      <c r="CD67" s="9">
        <v>10.596867496348052</v>
      </c>
      <c r="CE67" s="9">
        <v>3.5014423845387883</v>
      </c>
      <c r="CF67" s="9">
        <v>31.514598827268554</v>
      </c>
      <c r="CG67" s="9">
        <v>5.6733834943245691</v>
      </c>
      <c r="CH67" s="9">
        <v>8.4788098783858554E-2</v>
      </c>
      <c r="CI67" s="9">
        <v>412.77920578967257</v>
      </c>
      <c r="CJ67" s="9">
        <v>3.4767763578281126</v>
      </c>
      <c r="CK67" s="9">
        <v>3.8955541865187464</v>
      </c>
      <c r="CL67" s="9">
        <v>27.548130977537106</v>
      </c>
      <c r="CM67" s="9">
        <v>995.48804999999993</v>
      </c>
      <c r="CN67" s="9">
        <v>163.78145000000001</v>
      </c>
      <c r="CO67" s="9">
        <v>514.53444999999999</v>
      </c>
      <c r="CP67" s="9">
        <v>1.7628499999999998</v>
      </c>
      <c r="CQ67" s="9">
        <v>995.48804999999993</v>
      </c>
      <c r="CR67" s="9">
        <v>22.1585</v>
      </c>
      <c r="CS67" s="9">
        <v>4465.5</v>
      </c>
      <c r="CT67" s="9">
        <v>23.2</v>
      </c>
      <c r="CU67" s="9">
        <v>1</v>
      </c>
      <c r="CV67" s="9">
        <v>275.61951264135126</v>
      </c>
      <c r="CW67" s="9">
        <v>0.81</v>
      </c>
      <c r="CX67" s="9">
        <v>15.685130695307205</v>
      </c>
      <c r="CY67" s="9">
        <v>0.23062305377489659</v>
      </c>
      <c r="CZ67" s="9">
        <v>301.37747011108132</v>
      </c>
      <c r="DA67" s="9">
        <v>8.9321141146563399</v>
      </c>
      <c r="DB67" s="9">
        <v>3.7878114504671156</v>
      </c>
      <c r="DC67" s="9">
        <v>39.175094604492188</v>
      </c>
      <c r="DD67" s="9">
        <v>75</v>
      </c>
      <c r="DE67" s="9">
        <v>79</v>
      </c>
      <c r="DF67" s="9">
        <v>110</v>
      </c>
      <c r="DG67" s="9">
        <v>103</v>
      </c>
      <c r="DH67" s="9">
        <v>7</v>
      </c>
      <c r="DI67" s="9">
        <v>5</v>
      </c>
      <c r="DJ67" s="9">
        <v>42.67</v>
      </c>
      <c r="DK67" s="9">
        <v>21.05</v>
      </c>
      <c r="DL67" s="9">
        <v>9.1199999999999992</v>
      </c>
      <c r="DM67" s="9">
        <v>15.32</v>
      </c>
      <c r="DN67" s="9">
        <f t="shared" si="43"/>
        <v>11.930000000000001</v>
      </c>
      <c r="DO67" s="9">
        <f t="shared" si="44"/>
        <v>0.43325415676959617</v>
      </c>
    </row>
    <row r="68" spans="1:119" x14ac:dyDescent="0.25">
      <c r="A68" s="12">
        <v>4</v>
      </c>
      <c r="B68" s="12">
        <v>8</v>
      </c>
      <c r="C68" s="14" t="s">
        <v>212</v>
      </c>
      <c r="D68" s="8" t="s">
        <v>223</v>
      </c>
      <c r="E68" s="8">
        <v>1</v>
      </c>
      <c r="F68" s="9">
        <v>40.9</v>
      </c>
      <c r="G68" s="9">
        <v>0</v>
      </c>
      <c r="H68" s="9">
        <v>3</v>
      </c>
      <c r="I68" s="9">
        <v>23.1</v>
      </c>
      <c r="J68" s="9">
        <v>0.5</v>
      </c>
      <c r="K68" s="9">
        <v>26.3</v>
      </c>
      <c r="L68" s="9">
        <v>0.3</v>
      </c>
      <c r="M68" s="9">
        <v>0.65300000000000002</v>
      </c>
      <c r="N68" s="9">
        <v>0.16900000000000001</v>
      </c>
      <c r="O68" s="9">
        <v>0.187</v>
      </c>
      <c r="P68" s="9">
        <v>7.5999999999999998E-2</v>
      </c>
      <c r="Q68" s="9">
        <v>9.7740367538977484</v>
      </c>
      <c r="R68" s="9">
        <v>0.21724564447260658</v>
      </c>
      <c r="S68" s="9">
        <v>262.04517859952733</v>
      </c>
      <c r="T68" s="9">
        <v>4.6122403687442572</v>
      </c>
      <c r="U68" s="9">
        <v>2.0935462870947816</v>
      </c>
      <c r="V68" s="9">
        <v>29.504169464111328</v>
      </c>
      <c r="W68" s="9">
        <v>132.31989999999999</v>
      </c>
      <c r="X68" s="9">
        <v>7.0601000000000003</v>
      </c>
      <c r="Y68" s="9">
        <v>22.18</v>
      </c>
      <c r="Z68" s="9">
        <v>0.53359999999999996</v>
      </c>
      <c r="AA68" s="9">
        <v>132.31989999999999</v>
      </c>
      <c r="AB68" s="9">
        <v>0.29599999999999999</v>
      </c>
      <c r="AC68" s="9">
        <v>450</v>
      </c>
      <c r="AD68" s="9">
        <v>51.8</v>
      </c>
      <c r="AE68" s="9">
        <v>5</v>
      </c>
      <c r="AF68" s="9">
        <v>15</v>
      </c>
      <c r="AG68" s="9">
        <v>34</v>
      </c>
      <c r="AH68" s="9">
        <v>26.9</v>
      </c>
      <c r="AI68" s="9">
        <v>0.7</v>
      </c>
      <c r="AJ68" s="9">
        <v>0.6</v>
      </c>
      <c r="AK68" s="9">
        <v>129.80000000000001</v>
      </c>
      <c r="AL68" s="9">
        <v>77.8</v>
      </c>
      <c r="AM68" s="9">
        <v>0.71</v>
      </c>
      <c r="AN68" s="9">
        <v>0.63</v>
      </c>
      <c r="AO68" s="9">
        <v>5.8730000000000002</v>
      </c>
      <c r="AP68" s="9">
        <v>1.7529999999999999</v>
      </c>
      <c r="AQ68" s="9">
        <v>5.351</v>
      </c>
      <c r="AR68" s="9">
        <v>1.1220000000000001</v>
      </c>
      <c r="AS68" s="9">
        <v>23.440945367430036</v>
      </c>
      <c r="AT68" s="9">
        <v>3.9629140202861263E-2</v>
      </c>
      <c r="AU68" s="9">
        <v>233.21539629011494</v>
      </c>
      <c r="AV68" s="9">
        <v>10.931898881088623</v>
      </c>
      <c r="AW68" s="9">
        <v>24.874820325174483</v>
      </c>
      <c r="AX68" s="9">
        <v>32.491809464111327</v>
      </c>
      <c r="AY68" s="9">
        <v>7.7900364514949345</v>
      </c>
      <c r="AZ68" s="9">
        <v>1.1012518899020728E-2</v>
      </c>
      <c r="BA68" s="9">
        <v>206.35867895829679</v>
      </c>
      <c r="BB68" s="9">
        <v>3.9257783905971011</v>
      </c>
      <c r="BC68" s="9">
        <v>32.491661927968998</v>
      </c>
      <c r="BD68" s="9">
        <v>27.549836141111328</v>
      </c>
      <c r="BE68" s="9">
        <f>AVERAGE(BE69:BE70)</f>
        <v>269.49284999999998</v>
      </c>
      <c r="BF68" s="9">
        <f t="shared" ref="BF68:BI68" si="46">AVERAGE(BF69:BF70)</f>
        <v>32.821349999999995</v>
      </c>
      <c r="BG68" s="9">
        <f t="shared" si="46"/>
        <v>103.1113</v>
      </c>
      <c r="BH68" s="9">
        <f t="shared" si="46"/>
        <v>1.2117499999999999</v>
      </c>
      <c r="BI68" s="9">
        <f t="shared" si="46"/>
        <v>269.49284999999998</v>
      </c>
      <c r="BJ68" s="9">
        <v>15.215</v>
      </c>
      <c r="BK68" s="9">
        <v>2269</v>
      </c>
      <c r="BL68" s="9">
        <v>76.3</v>
      </c>
      <c r="BM68" s="9">
        <v>8</v>
      </c>
      <c r="BN68" s="9">
        <v>29</v>
      </c>
      <c r="BO68" s="9">
        <v>23</v>
      </c>
      <c r="BP68" s="9">
        <v>24.2</v>
      </c>
      <c r="BQ68" s="9">
        <v>0.6</v>
      </c>
      <c r="BR68" s="9">
        <v>0.9</v>
      </c>
      <c r="BS68" s="9">
        <v>263.80784043568468</v>
      </c>
      <c r="BT68" s="9">
        <v>195.68284511550763</v>
      </c>
      <c r="BU68" s="9">
        <v>0.74</v>
      </c>
      <c r="BV68" s="9">
        <v>0.63</v>
      </c>
      <c r="BW68" s="9">
        <v>21.571999999999999</v>
      </c>
      <c r="BX68" s="9">
        <v>15.670999999999999</v>
      </c>
      <c r="BY68" s="9">
        <v>6.8920000000000003</v>
      </c>
      <c r="BZ68" s="9">
        <v>4.915</v>
      </c>
      <c r="CA68" s="9">
        <v>20.411713543588277</v>
      </c>
      <c r="CB68" s="9">
        <v>0.26846792269977715</v>
      </c>
      <c r="CC68" s="9">
        <v>390.30068009198476</v>
      </c>
      <c r="CD68" s="9">
        <v>9.6316649766123064</v>
      </c>
      <c r="CE68" s="9">
        <v>3.544356413327971</v>
      </c>
      <c r="CF68" s="9">
        <v>33.243236141111325</v>
      </c>
      <c r="CG68" s="9">
        <v>13.473438121669869</v>
      </c>
      <c r="CH68" s="9">
        <v>0.12694595238191328</v>
      </c>
      <c r="CI68" s="9">
        <v>391.80905820137201</v>
      </c>
      <c r="CJ68" s="9">
        <v>5.7353718536185401</v>
      </c>
      <c r="CK68" s="9">
        <v>4.3170901389458631</v>
      </c>
      <c r="CL68" s="9">
        <v>31.005405605222656</v>
      </c>
      <c r="CM68" s="9">
        <v>1072.1214</v>
      </c>
      <c r="CN68" s="9">
        <v>120.5545</v>
      </c>
      <c r="CO68" s="9">
        <v>378.733</v>
      </c>
      <c r="CP68" s="9">
        <v>1.1244000000000001</v>
      </c>
      <c r="CQ68" s="9">
        <v>1072.1214</v>
      </c>
      <c r="CR68" s="9">
        <v>10.647</v>
      </c>
      <c r="CS68" s="9">
        <v>3513</v>
      </c>
      <c r="CT68" s="9">
        <v>15.5</v>
      </c>
      <c r="CU68" s="9">
        <v>0.9</v>
      </c>
      <c r="CV68" s="9">
        <v>332.04652386333538</v>
      </c>
      <c r="CW68" s="9">
        <v>0.8</v>
      </c>
      <c r="CX68" s="9">
        <v>22.347736995334774</v>
      </c>
      <c r="CY68" s="9">
        <v>0.29249468378897114</v>
      </c>
      <c r="CZ68" s="9">
        <v>289.37290022972689</v>
      </c>
      <c r="DA68" s="9">
        <v>10.34155208329161</v>
      </c>
      <c r="DB68" s="9">
        <v>3.4992600870487274</v>
      </c>
      <c r="DC68" s="9">
        <v>38.232814788818359</v>
      </c>
      <c r="DD68" s="9">
        <v>73</v>
      </c>
      <c r="DE68" s="9">
        <v>78</v>
      </c>
      <c r="DF68" s="9">
        <v>107</v>
      </c>
      <c r="DG68" s="9">
        <v>82</v>
      </c>
      <c r="DH68" s="9">
        <v>9</v>
      </c>
      <c r="DI68" s="9">
        <v>8</v>
      </c>
      <c r="DJ68" s="9">
        <v>42.65</v>
      </c>
      <c r="DK68" s="9">
        <v>27.53</v>
      </c>
      <c r="DL68" s="9">
        <v>12.67</v>
      </c>
      <c r="DM68" s="9">
        <v>17.5</v>
      </c>
      <c r="DN68" s="9">
        <f t="shared" si="43"/>
        <v>14.860000000000001</v>
      </c>
      <c r="DO68" s="9">
        <f t="shared" si="44"/>
        <v>0.46022520886305845</v>
      </c>
    </row>
    <row r="69" spans="1:119" x14ac:dyDescent="0.25">
      <c r="A69" s="12">
        <v>5</v>
      </c>
      <c r="B69" s="12">
        <v>8</v>
      </c>
      <c r="C69" s="14" t="s">
        <v>212</v>
      </c>
      <c r="D69" s="8" t="s">
        <v>223</v>
      </c>
      <c r="E69" s="8">
        <v>2</v>
      </c>
      <c r="F69" s="9">
        <v>36.700000000000003</v>
      </c>
      <c r="G69" s="9">
        <v>0</v>
      </c>
      <c r="H69" s="9">
        <v>3</v>
      </c>
      <c r="I69" s="9">
        <v>24.1</v>
      </c>
      <c r="J69" s="9">
        <v>0.5</v>
      </c>
      <c r="K69" s="9">
        <v>26.5</v>
      </c>
      <c r="L69" s="9">
        <v>0.5</v>
      </c>
      <c r="M69" s="9">
        <v>0.65229999999999999</v>
      </c>
      <c r="N69" s="9">
        <v>0.156</v>
      </c>
      <c r="O69" s="9">
        <v>0.17799999999999999</v>
      </c>
      <c r="P69" s="9">
        <v>7.0999999999999994E-2</v>
      </c>
      <c r="Q69" s="9">
        <v>9.7583760562220654</v>
      </c>
      <c r="R69" s="9">
        <v>0.21958555680354705</v>
      </c>
      <c r="S69" s="9">
        <v>262.96276847849612</v>
      </c>
      <c r="T69" s="9">
        <v>4.6538826105486857</v>
      </c>
      <c r="U69" s="9">
        <v>2.0909182730742986</v>
      </c>
      <c r="V69" s="9">
        <v>29.497529983520508</v>
      </c>
      <c r="W69" s="9">
        <v>219.10400000000001</v>
      </c>
      <c r="X69" s="9">
        <v>15.611499999999999</v>
      </c>
      <c r="Y69" s="9">
        <v>49.044899999999998</v>
      </c>
      <c r="Z69" s="9">
        <v>0.71250000000000002</v>
      </c>
      <c r="AA69" s="9">
        <v>219.10400000000001</v>
      </c>
      <c r="AB69" s="9">
        <v>0.874</v>
      </c>
      <c r="AC69" s="9">
        <v>679</v>
      </c>
      <c r="AD69" s="9">
        <v>62</v>
      </c>
      <c r="AE69" s="9">
        <v>7</v>
      </c>
      <c r="AF69" s="9">
        <v>20</v>
      </c>
      <c r="AG69" s="9">
        <v>41.6</v>
      </c>
      <c r="AH69" s="9">
        <v>30.6</v>
      </c>
      <c r="AI69" s="9">
        <v>0.9</v>
      </c>
      <c r="AJ69" s="9">
        <v>0.5</v>
      </c>
      <c r="AK69" s="9">
        <v>151.69999999999999</v>
      </c>
      <c r="AL69" s="9">
        <v>77.900000000000006</v>
      </c>
      <c r="AM69" s="9">
        <v>0.68</v>
      </c>
      <c r="AN69" s="9">
        <v>0.61</v>
      </c>
      <c r="AO69" s="9">
        <v>5.6420000000000003</v>
      </c>
      <c r="AP69" s="9">
        <v>1.8759999999999999</v>
      </c>
      <c r="AQ69" s="9">
        <v>5.8609999999999998</v>
      </c>
      <c r="AR69" s="9">
        <v>1.175</v>
      </c>
      <c r="AS69" s="9">
        <v>29.276513516363554</v>
      </c>
      <c r="AT69" s="9">
        <v>4.112742334980235E-2</v>
      </c>
      <c r="AU69" s="9">
        <v>177.52892118690201</v>
      </c>
      <c r="AV69" s="9">
        <v>15.385874767912208</v>
      </c>
      <c r="AW69" s="9">
        <v>34.723306475925618</v>
      </c>
      <c r="AX69" s="9">
        <v>32.485169983520507</v>
      </c>
      <c r="AY69" s="9">
        <v>7.8063169256755902</v>
      </c>
      <c r="AZ69" s="9">
        <v>6.2404390425415401E-3</v>
      </c>
      <c r="BA69" s="9">
        <v>272.22926750314525</v>
      </c>
      <c r="BB69" s="9">
        <v>1.61480410875532</v>
      </c>
      <c r="BC69" s="9">
        <v>21.795647201689331</v>
      </c>
      <c r="BD69" s="9">
        <v>27.543196660520508</v>
      </c>
      <c r="BE69" s="9">
        <v>261.52969999999999</v>
      </c>
      <c r="BF69" s="9">
        <v>26.284700000000001</v>
      </c>
      <c r="BG69" s="9">
        <v>82.575900000000004</v>
      </c>
      <c r="BH69" s="9">
        <v>1.0049999999999999</v>
      </c>
      <c r="BI69" s="9">
        <v>261.52969999999999</v>
      </c>
      <c r="BJ69" s="9">
        <v>2.0750000000000002</v>
      </c>
      <c r="BK69" s="9">
        <v>1179</v>
      </c>
      <c r="BL69" s="9">
        <v>77</v>
      </c>
      <c r="BM69" s="9">
        <v>9</v>
      </c>
      <c r="BN69" s="9">
        <v>32</v>
      </c>
      <c r="BO69" s="9">
        <v>24</v>
      </c>
      <c r="BP69" s="9">
        <v>29.6</v>
      </c>
      <c r="BQ69" s="9">
        <v>0.7</v>
      </c>
      <c r="BR69" s="9">
        <v>0.9</v>
      </c>
      <c r="BS69" s="9">
        <v>272.26472672178915</v>
      </c>
      <c r="BT69" s="9">
        <v>191.87214062528818</v>
      </c>
      <c r="BU69" s="9">
        <v>0.75</v>
      </c>
      <c r="BV69" s="9">
        <v>0.61</v>
      </c>
      <c r="BW69" s="9">
        <v>22.876000000000001</v>
      </c>
      <c r="BX69" s="9">
        <v>17.513000000000002</v>
      </c>
      <c r="BY69" s="9">
        <v>8.2149999999999999</v>
      </c>
      <c r="BZ69" s="9">
        <v>4.8520000000000003</v>
      </c>
      <c r="CA69" s="9">
        <v>23.089367521641414</v>
      </c>
      <c r="CB69" s="9">
        <v>0.27301127529099933</v>
      </c>
      <c r="CC69" s="9">
        <v>382.86457503865694</v>
      </c>
      <c r="CD69" s="9">
        <v>10.552413855215919</v>
      </c>
      <c r="CE69" s="9">
        <v>3.8097730383877444</v>
      </c>
      <c r="CF69" s="9">
        <v>33.236596660520505</v>
      </c>
      <c r="CG69" s="9">
        <v>13.952597957665105</v>
      </c>
      <c r="CH69" s="9">
        <v>0.12752545195328452</v>
      </c>
      <c r="CI69" s="9">
        <v>391.58940170403042</v>
      </c>
      <c r="CJ69" s="9">
        <v>5.6664965877193936</v>
      </c>
      <c r="CK69" s="9">
        <v>4.2477191055876728</v>
      </c>
      <c r="CL69" s="9">
        <v>30.992126644041015</v>
      </c>
      <c r="CM69" s="9">
        <v>1056.6403</v>
      </c>
      <c r="CN69" s="9">
        <v>162.12979999999999</v>
      </c>
      <c r="CO69" s="9">
        <v>509.34570000000002</v>
      </c>
      <c r="CP69" s="9">
        <v>1.5344</v>
      </c>
      <c r="CQ69" s="9">
        <v>1056.6403</v>
      </c>
      <c r="CR69" s="9">
        <v>19.538</v>
      </c>
      <c r="CS69" s="9">
        <v>3920</v>
      </c>
      <c r="CT69" s="9">
        <v>14.5</v>
      </c>
      <c r="CU69" s="9">
        <v>0.9</v>
      </c>
      <c r="CV69" s="9">
        <v>319.49873676983293</v>
      </c>
      <c r="CW69" s="9">
        <v>0.81</v>
      </c>
      <c r="CX69" s="9">
        <v>22.497057503479102</v>
      </c>
      <c r="CY69" s="9">
        <v>0.29205627469597195</v>
      </c>
      <c r="CZ69" s="9">
        <v>288.33518287726628</v>
      </c>
      <c r="DA69" s="9">
        <v>10.329700235589858</v>
      </c>
      <c r="DB69" s="9">
        <v>3.5001798719870889</v>
      </c>
      <c r="DC69" s="9">
        <v>38.234264373779297</v>
      </c>
      <c r="DD69" s="9">
        <v>73</v>
      </c>
      <c r="DE69" s="9">
        <v>78</v>
      </c>
      <c r="DF69" s="9">
        <v>107</v>
      </c>
      <c r="DG69" s="9">
        <v>89</v>
      </c>
      <c r="DH69" s="9">
        <v>9</v>
      </c>
      <c r="DI69" s="9">
        <v>9</v>
      </c>
      <c r="DJ69" s="9">
        <v>42.17</v>
      </c>
      <c r="DK69" s="9">
        <v>28.98</v>
      </c>
      <c r="DL69" s="9">
        <v>13.09</v>
      </c>
      <c r="DM69" s="9">
        <v>18.100000000000001</v>
      </c>
      <c r="DN69" s="9">
        <f t="shared" si="43"/>
        <v>15.89</v>
      </c>
      <c r="DO69" s="9">
        <f t="shared" si="44"/>
        <v>0.45169082125603865</v>
      </c>
    </row>
    <row r="70" spans="1:119" x14ac:dyDescent="0.25">
      <c r="A70" s="12">
        <v>6</v>
      </c>
      <c r="B70" s="12">
        <v>8</v>
      </c>
      <c r="C70" s="14" t="s">
        <v>212</v>
      </c>
      <c r="D70" s="8" t="s">
        <v>223</v>
      </c>
      <c r="E70" s="8">
        <v>3</v>
      </c>
      <c r="F70" s="9">
        <v>51.5</v>
      </c>
      <c r="G70" s="9">
        <v>0</v>
      </c>
      <c r="H70" s="9">
        <v>3</v>
      </c>
      <c r="I70" s="9">
        <v>34.5</v>
      </c>
      <c r="J70" s="9">
        <v>0.5</v>
      </c>
      <c r="K70" s="9">
        <v>31.2</v>
      </c>
      <c r="L70" s="9">
        <v>0.6</v>
      </c>
      <c r="M70" s="9">
        <v>0.76500000000000001</v>
      </c>
      <c r="N70" s="9">
        <v>0.125</v>
      </c>
      <c r="O70" s="9">
        <v>0.191</v>
      </c>
      <c r="P70" s="9">
        <v>6.4000000000000001E-2</v>
      </c>
      <c r="Q70" s="9">
        <v>10.333547188773004</v>
      </c>
      <c r="R70" s="9">
        <v>0.22295329491244237</v>
      </c>
      <c r="S70" s="9">
        <v>259.78476972547509</v>
      </c>
      <c r="T70" s="9">
        <v>4.7053181761515361</v>
      </c>
      <c r="U70" s="9">
        <v>2.0835159687394693</v>
      </c>
      <c r="V70" s="9">
        <v>29.475156784057617</v>
      </c>
      <c r="W70" s="9">
        <f>AVERAGE(W68:W69)</f>
        <v>175.71195</v>
      </c>
      <c r="X70" s="9">
        <v>6.6654999999999998</v>
      </c>
      <c r="Y70" s="9">
        <v>20.940200000000001</v>
      </c>
      <c r="Z70" s="9">
        <v>0.91830000000000001</v>
      </c>
      <c r="AA70" s="9">
        <v>72.587999999999994</v>
      </c>
      <c r="AB70" s="9">
        <v>0.48099999999999998</v>
      </c>
      <c r="AC70" s="9">
        <f>AVERAGE(AC68:AC69)</f>
        <v>564.5</v>
      </c>
      <c r="AD70" s="9">
        <f t="shared" ref="AD70:AF70" si="47">AVERAGE(AD68:AD69)</f>
        <v>56.9</v>
      </c>
      <c r="AE70" s="9">
        <f t="shared" si="47"/>
        <v>6</v>
      </c>
      <c r="AF70" s="9">
        <f t="shared" si="47"/>
        <v>17.5</v>
      </c>
      <c r="AG70" s="9">
        <v>39.700000000000003</v>
      </c>
      <c r="AH70" s="9">
        <v>31.5</v>
      </c>
      <c r="AI70" s="9">
        <v>0.6</v>
      </c>
      <c r="AJ70" s="9">
        <v>0.6</v>
      </c>
      <c r="AK70" s="9">
        <v>121.8</v>
      </c>
      <c r="AL70" s="9">
        <v>56.5</v>
      </c>
      <c r="AM70" s="9">
        <v>0.65</v>
      </c>
      <c r="AN70" s="9">
        <v>0.59</v>
      </c>
      <c r="AO70" s="9">
        <v>6.6310000000000002</v>
      </c>
      <c r="AP70" s="9">
        <v>1.5629999999999999</v>
      </c>
      <c r="AQ70" s="9">
        <v>5.5640000000000001</v>
      </c>
      <c r="AR70" s="9">
        <v>1.099</v>
      </c>
      <c r="AS70" s="9">
        <v>14.768691187888731</v>
      </c>
      <c r="AT70" s="9">
        <v>1.1437075065762709E-2</v>
      </c>
      <c r="AU70" s="9">
        <v>152.08511982653752</v>
      </c>
      <c r="AV70" s="9">
        <v>5.7880631319841056</v>
      </c>
      <c r="AW70" s="9">
        <v>41.336218027301797</v>
      </c>
      <c r="AX70" s="9">
        <v>32.462796784057616</v>
      </c>
      <c r="AY70" s="9">
        <v>7.8127455217716388</v>
      </c>
      <c r="AZ70" s="9">
        <v>1.394329373551852E-2</v>
      </c>
      <c r="BA70" s="9">
        <v>253.73841233136113</v>
      </c>
      <c r="BB70" s="9">
        <v>3.9432722191151015</v>
      </c>
      <c r="BC70" s="9">
        <v>23.8301869584418</v>
      </c>
      <c r="BD70" s="9">
        <v>27.520823461057617</v>
      </c>
      <c r="BE70" s="9">
        <v>277.45600000000002</v>
      </c>
      <c r="BF70" s="9">
        <v>39.357999999999997</v>
      </c>
      <c r="BG70" s="9">
        <v>123.6467</v>
      </c>
      <c r="BH70" s="9">
        <v>1.4185000000000001</v>
      </c>
      <c r="BI70" s="9">
        <v>277.45600000000002</v>
      </c>
      <c r="BJ70" s="9">
        <v>4.3849999999999998</v>
      </c>
      <c r="BK70" s="9">
        <v>959</v>
      </c>
      <c r="BL70" s="9">
        <v>71</v>
      </c>
      <c r="BM70" s="9">
        <v>10</v>
      </c>
      <c r="BN70" s="9">
        <v>34</v>
      </c>
      <c r="BO70" s="9">
        <v>28.3</v>
      </c>
      <c r="BP70" s="9">
        <v>29.3</v>
      </c>
      <c r="BQ70" s="9">
        <v>0.7</v>
      </c>
      <c r="BR70" s="9">
        <v>0.9</v>
      </c>
      <c r="BS70" s="9">
        <v>270.58141863344827</v>
      </c>
      <c r="BT70" s="9">
        <v>193.78080659882932</v>
      </c>
      <c r="BU70" s="9">
        <v>0.76</v>
      </c>
      <c r="BV70" s="9">
        <v>0.64</v>
      </c>
      <c r="BW70" s="9">
        <v>23.651</v>
      </c>
      <c r="BX70" s="9">
        <v>16.422999999999998</v>
      </c>
      <c r="BY70" s="9">
        <v>9.1460000000000008</v>
      </c>
      <c r="BZ70" s="9">
        <v>7.6520000000000001</v>
      </c>
      <c r="CA70" s="9">
        <v>24.888487053111906</v>
      </c>
      <c r="CB70" s="9">
        <v>0.34515102209678894</v>
      </c>
      <c r="CC70" s="9">
        <v>379.88872341359632</v>
      </c>
      <c r="CD70" s="9">
        <v>12.383641490778389</v>
      </c>
      <c r="CE70" s="9">
        <v>3.5951064105738104</v>
      </c>
      <c r="CF70" s="9">
        <v>33.214223461057614</v>
      </c>
      <c r="CG70" s="9">
        <v>13.952597957665105</v>
      </c>
      <c r="CH70" s="9">
        <v>0.12752545195328452</v>
      </c>
      <c r="CI70" s="9">
        <v>391.58940170403042</v>
      </c>
      <c r="CJ70" s="9">
        <v>5.6664965877193936</v>
      </c>
      <c r="CK70" s="9">
        <v>4.2477191055876728</v>
      </c>
      <c r="CL70" s="9">
        <v>30.947380245115234</v>
      </c>
      <c r="CM70" s="9">
        <v>1210.7302999999999</v>
      </c>
      <c r="CN70" s="9">
        <v>143.346</v>
      </c>
      <c r="CO70" s="9">
        <v>450.3347</v>
      </c>
      <c r="CP70" s="9">
        <v>1.1839999999999999</v>
      </c>
      <c r="CQ70" s="9">
        <v>1210.7302999999999</v>
      </c>
      <c r="CR70" s="9">
        <v>13.329000000000001</v>
      </c>
      <c r="CS70" s="9">
        <v>3985</v>
      </c>
      <c r="CT70" s="9">
        <v>16.5</v>
      </c>
      <c r="CU70" s="9">
        <v>0.9</v>
      </c>
      <c r="CV70" s="9">
        <v>325.79639190036755</v>
      </c>
      <c r="CW70" s="9">
        <v>0.81</v>
      </c>
      <c r="CX70" s="9">
        <v>22.508868983049119</v>
      </c>
      <c r="CY70" s="9">
        <v>0.29172777783560033</v>
      </c>
      <c r="CZ70" s="9">
        <v>288.14771427945385</v>
      </c>
      <c r="DA70" s="9">
        <v>10.318268267848341</v>
      </c>
      <c r="DB70" s="9">
        <v>3.5000220892570919</v>
      </c>
      <c r="DC70" s="9">
        <v>38.232734680175781</v>
      </c>
      <c r="DD70" s="9">
        <v>73</v>
      </c>
      <c r="DE70" s="9">
        <v>78</v>
      </c>
      <c r="DF70" s="9">
        <v>107</v>
      </c>
      <c r="DG70" s="9">
        <v>101</v>
      </c>
      <c r="DH70" s="9">
        <v>11</v>
      </c>
      <c r="DI70" s="9">
        <v>9</v>
      </c>
      <c r="DJ70" s="9">
        <v>44.85</v>
      </c>
      <c r="DK70" s="9">
        <v>29.1</v>
      </c>
      <c r="DL70" s="9">
        <v>13.11</v>
      </c>
      <c r="DM70" s="9">
        <v>18.149999999999999</v>
      </c>
      <c r="DN70" s="9">
        <f t="shared" si="43"/>
        <v>15.990000000000002</v>
      </c>
      <c r="DO70" s="9">
        <f t="shared" si="44"/>
        <v>0.45051546391752573</v>
      </c>
    </row>
    <row r="71" spans="1:119" x14ac:dyDescent="0.25">
      <c r="A71" s="12">
        <v>4</v>
      </c>
      <c r="B71" s="12">
        <v>9</v>
      </c>
      <c r="C71" s="14" t="s">
        <v>213</v>
      </c>
      <c r="D71" s="8" t="s">
        <v>223</v>
      </c>
      <c r="E71" s="8">
        <v>1</v>
      </c>
      <c r="F71" s="9">
        <v>37</v>
      </c>
      <c r="G71" s="9">
        <v>0</v>
      </c>
      <c r="H71" s="9">
        <v>3</v>
      </c>
      <c r="I71" s="9">
        <v>26.2</v>
      </c>
      <c r="J71" s="9">
        <v>0.3</v>
      </c>
      <c r="K71" s="9">
        <v>12.9</v>
      </c>
      <c r="L71" s="9">
        <v>0.2</v>
      </c>
      <c r="M71" s="9">
        <v>0.26200000000000001</v>
      </c>
      <c r="N71" s="9">
        <v>0.14899999999999999</v>
      </c>
      <c r="O71" s="9">
        <v>0.10199999999999999</v>
      </c>
      <c r="P71" s="9">
        <v>5.2999999999999999E-2</v>
      </c>
      <c r="Q71" s="9">
        <v>10.925848353500216</v>
      </c>
      <c r="R71" s="9">
        <v>0.22367602378848203</v>
      </c>
      <c r="S71" s="9">
        <v>255.57865092828814</v>
      </c>
      <c r="T71" s="9">
        <v>4.7139274564051643</v>
      </c>
      <c r="U71" s="9">
        <v>2.0808973200183671</v>
      </c>
      <c r="V71" s="9">
        <v>29.46929931640625</v>
      </c>
      <c r="W71" s="9">
        <v>95.383700000000005</v>
      </c>
      <c r="X71" s="9">
        <v>5.1760999999999999</v>
      </c>
      <c r="Y71" s="9">
        <f ca="1">AVERAGE(Y72:Y73)</f>
        <v>0</v>
      </c>
      <c r="Z71" s="9">
        <v>0.54269999999999996</v>
      </c>
      <c r="AA71" s="9">
        <v>95.383700000000005</v>
      </c>
      <c r="AB71" s="9">
        <v>0.221</v>
      </c>
      <c r="AC71" s="9">
        <v>297</v>
      </c>
      <c r="AD71" s="9">
        <v>61</v>
      </c>
      <c r="AE71" s="9">
        <v>10</v>
      </c>
      <c r="AF71" s="9">
        <v>22</v>
      </c>
      <c r="AG71" s="9">
        <v>42.6</v>
      </c>
      <c r="AH71" s="9">
        <v>35.200000000000003</v>
      </c>
      <c r="AI71" s="9">
        <v>0.7</v>
      </c>
      <c r="AJ71" s="9">
        <v>0.4</v>
      </c>
      <c r="AK71" s="9">
        <v>223.8</v>
      </c>
      <c r="AL71" s="9">
        <v>185.1</v>
      </c>
      <c r="AM71" s="9">
        <v>0.72</v>
      </c>
      <c r="AN71" s="9">
        <v>0.67</v>
      </c>
      <c r="AO71" s="9">
        <v>9.1449999999999996</v>
      </c>
      <c r="AP71" s="9">
        <v>2.5150000000000001</v>
      </c>
      <c r="AQ71" s="9">
        <v>10.614000000000001</v>
      </c>
      <c r="AR71" s="9">
        <v>2.569</v>
      </c>
      <c r="AS71" s="9">
        <v>26.530690571365319</v>
      </c>
      <c r="AT71" s="9">
        <v>5.9511064019419267E-2</v>
      </c>
      <c r="AU71" s="9">
        <v>221.02014290253322</v>
      </c>
      <c r="AV71" s="9">
        <v>17.29539728153344</v>
      </c>
      <c r="AW71" s="9">
        <v>26.720109660221095</v>
      </c>
      <c r="AX71" s="9">
        <v>32.456939316406249</v>
      </c>
      <c r="AY71" s="9">
        <v>18.380979259108972</v>
      </c>
      <c r="AZ71" s="9">
        <v>3.1990912344711832E-2</v>
      </c>
      <c r="BA71" s="9">
        <v>221.42174539174948</v>
      </c>
      <c r="BB71" s="9">
        <v>10.029898479906374</v>
      </c>
      <c r="BC71" s="9">
        <v>28.244609021333396</v>
      </c>
      <c r="BD71" s="9">
        <v>27.51496599340625</v>
      </c>
      <c r="BE71" s="9">
        <v>440.38209999999998</v>
      </c>
      <c r="BF71" s="9">
        <v>53.635800000000003</v>
      </c>
      <c r="BG71" s="9">
        <v>168.5017</v>
      </c>
      <c r="BH71" s="9">
        <v>1.2179</v>
      </c>
      <c r="BI71" s="9">
        <v>440.38209999999998</v>
      </c>
      <c r="BJ71" s="9">
        <v>5.1310000000000002</v>
      </c>
      <c r="BK71" s="9">
        <v>1506</v>
      </c>
      <c r="BL71" s="9">
        <v>84.1</v>
      </c>
      <c r="BM71" s="9">
        <v>16</v>
      </c>
      <c r="BN71" s="9">
        <v>62</v>
      </c>
      <c r="BO71" s="9">
        <v>20.3</v>
      </c>
      <c r="BP71" s="9">
        <v>32</v>
      </c>
      <c r="BQ71" s="9">
        <v>0.6</v>
      </c>
      <c r="BR71" s="9">
        <v>0.7</v>
      </c>
      <c r="BS71" s="9">
        <v>311.55750387401338</v>
      </c>
      <c r="BT71" s="9">
        <v>232.46142871452582</v>
      </c>
      <c r="BU71" s="9">
        <v>0.76</v>
      </c>
      <c r="BV71" s="9">
        <v>0.67</v>
      </c>
      <c r="BW71" s="9">
        <v>35.640999999999998</v>
      </c>
      <c r="BX71" s="9">
        <v>16.324999999999999</v>
      </c>
      <c r="BY71" s="9">
        <v>12.731</v>
      </c>
      <c r="BZ71" s="9">
        <v>4.5209999999999999</v>
      </c>
      <c r="CA71" s="9">
        <v>22.039705736297019</v>
      </c>
      <c r="CB71" s="9">
        <v>3.8014725431267826E-2</v>
      </c>
      <c r="CC71" s="9">
        <v>244.4008657815647</v>
      </c>
      <c r="CD71" s="9">
        <v>13.15969683700229</v>
      </c>
      <c r="CE71" s="9">
        <v>28.295500459505252</v>
      </c>
      <c r="CF71" s="9">
        <v>33.208365993406247</v>
      </c>
      <c r="CG71" s="9">
        <v>14.64707207124728</v>
      </c>
      <c r="CH71" s="9">
        <v>2.0152985333947469E-2</v>
      </c>
      <c r="CI71" s="9">
        <v>259.04816544660986</v>
      </c>
      <c r="CJ71" s="9">
        <v>6.6050536591536817</v>
      </c>
      <c r="CK71" s="9">
        <v>26.836065560522758</v>
      </c>
      <c r="CL71" s="9">
        <v>30.935665309812499</v>
      </c>
      <c r="CM71" s="9">
        <v>1080.9047</v>
      </c>
      <c r="CN71" s="9">
        <v>154.5018</v>
      </c>
      <c r="CO71" s="9">
        <v>485.38170000000002</v>
      </c>
      <c r="CP71" s="9">
        <v>1.4294</v>
      </c>
      <c r="CQ71" s="9">
        <v>1080.9047</v>
      </c>
      <c r="CR71" s="9">
        <v>17.344999999999999</v>
      </c>
      <c r="CS71" s="9">
        <v>3813</v>
      </c>
      <c r="CT71" s="9">
        <v>20.100000000000001</v>
      </c>
      <c r="CU71" s="9">
        <v>0.7</v>
      </c>
      <c r="CV71" s="9">
        <v>280.62267748062766</v>
      </c>
      <c r="CW71" s="9">
        <v>0.81</v>
      </c>
      <c r="CX71" s="9">
        <v>24.714466954893776</v>
      </c>
      <c r="CY71" s="9">
        <v>0.42656944234535621</v>
      </c>
      <c r="CZ71" s="9">
        <v>318.33894391232246</v>
      </c>
      <c r="DA71" s="9">
        <v>14.037496172872229</v>
      </c>
      <c r="DB71" s="9">
        <v>3.3430433934052131</v>
      </c>
      <c r="DC71" s="9">
        <v>38.139129638671875</v>
      </c>
      <c r="DD71" s="9">
        <v>82</v>
      </c>
      <c r="DE71" s="9">
        <v>86</v>
      </c>
      <c r="DF71" s="9">
        <v>118</v>
      </c>
      <c r="DG71" s="9">
        <v>90</v>
      </c>
      <c r="DH71" s="9">
        <v>17</v>
      </c>
      <c r="DI71" s="9">
        <v>11</v>
      </c>
      <c r="DJ71" s="9">
        <v>40.119999999999997</v>
      </c>
      <c r="DK71" s="9">
        <v>26.21</v>
      </c>
      <c r="DL71" s="9">
        <v>13.47</v>
      </c>
      <c r="DM71" s="9">
        <v>19.559999999999999</v>
      </c>
      <c r="DN71" s="9">
        <f t="shared" si="43"/>
        <v>12.74</v>
      </c>
      <c r="DO71" s="9">
        <f t="shared" si="44"/>
        <v>0.51392598244944676</v>
      </c>
    </row>
    <row r="72" spans="1:119" x14ac:dyDescent="0.25">
      <c r="A72" s="12">
        <v>5</v>
      </c>
      <c r="B72" s="12">
        <v>9</v>
      </c>
      <c r="C72" s="14" t="s">
        <v>213</v>
      </c>
      <c r="D72" s="8" t="s">
        <v>223</v>
      </c>
      <c r="E72" s="8">
        <v>2</v>
      </c>
      <c r="F72" s="9">
        <v>54.5</v>
      </c>
      <c r="G72" s="9">
        <v>0</v>
      </c>
      <c r="H72" s="9">
        <v>3</v>
      </c>
      <c r="I72" s="9">
        <v>34.6</v>
      </c>
      <c r="J72" s="9">
        <v>0.3</v>
      </c>
      <c r="K72" s="9">
        <v>38.200000000000003</v>
      </c>
      <c r="L72" s="9">
        <v>0.4</v>
      </c>
      <c r="M72" s="9">
        <v>0.251</v>
      </c>
      <c r="N72" s="9">
        <v>0.16</v>
      </c>
      <c r="O72" s="9">
        <v>0.21</v>
      </c>
      <c r="P72" s="9">
        <v>6.6100000000000006E-2</v>
      </c>
      <c r="Q72" s="9">
        <v>7.5050387264907563</v>
      </c>
      <c r="R72" s="9">
        <v>0.36783153376882838</v>
      </c>
      <c r="S72" s="9">
        <v>300.36036434878008</v>
      </c>
      <c r="T72" s="9">
        <v>7.0310092054144588</v>
      </c>
      <c r="U72" s="9">
        <v>1.9423766433233678</v>
      </c>
      <c r="V72" s="9">
        <v>28.964876174926758</v>
      </c>
      <c r="W72" s="9">
        <v>123.7388</v>
      </c>
      <c r="X72" s="9">
        <v>11.4262</v>
      </c>
      <c r="Y72" s="9">
        <v>35.896299999999997</v>
      </c>
      <c r="Z72" s="9">
        <v>0.9234</v>
      </c>
      <c r="AA72" s="9">
        <v>123.7388</v>
      </c>
      <c r="AB72" s="9">
        <v>0.82899999999999996</v>
      </c>
      <c r="AC72" s="9">
        <v>379</v>
      </c>
      <c r="AD72" s="9">
        <v>44.6</v>
      </c>
      <c r="AE72" s="9">
        <v>5</v>
      </c>
      <c r="AF72" s="9">
        <v>12</v>
      </c>
      <c r="AG72" s="9">
        <v>31</v>
      </c>
      <c r="AH72" s="9">
        <v>28.1</v>
      </c>
      <c r="AI72" s="9">
        <v>0.6</v>
      </c>
      <c r="AJ72" s="9">
        <v>0.4</v>
      </c>
      <c r="AK72" s="9">
        <v>250.1</v>
      </c>
      <c r="AL72" s="9">
        <v>150.9</v>
      </c>
      <c r="AM72" s="9">
        <v>0.75</v>
      </c>
      <c r="AN72" s="9">
        <v>0.64</v>
      </c>
      <c r="AO72" s="9">
        <v>4.4560000000000004</v>
      </c>
      <c r="AP72" s="9">
        <v>1.2250000000000001</v>
      </c>
      <c r="AQ72" s="9">
        <v>4.0640000000000001</v>
      </c>
      <c r="AR72" s="9">
        <v>1.321</v>
      </c>
      <c r="AS72" s="9">
        <v>24.960759604567919</v>
      </c>
      <c r="AT72" s="9">
        <v>2.8588058082851246E-2</v>
      </c>
      <c r="AU72" s="9">
        <v>137.23685689722322</v>
      </c>
      <c r="AV72" s="9">
        <v>14.752149401127264</v>
      </c>
      <c r="AW72" s="9">
        <v>42.996326331888284</v>
      </c>
      <c r="AX72" s="9">
        <v>31.952516174926757</v>
      </c>
      <c r="AY72" s="9">
        <v>12.510510514376</v>
      </c>
      <c r="AZ72" s="9">
        <v>6.0391239524905374E-3</v>
      </c>
      <c r="BA72" s="9">
        <v>267.57667853580256</v>
      </c>
      <c r="BB72" s="9">
        <v>6.61329323349816</v>
      </c>
      <c r="BC72" s="9">
        <v>23.4097846738246</v>
      </c>
      <c r="BD72" s="9">
        <v>27.00124643469043</v>
      </c>
      <c r="BE72" s="9">
        <v>461.96359999999999</v>
      </c>
      <c r="BF72" s="9">
        <v>52.996600000000001</v>
      </c>
      <c r="BG72" s="9">
        <v>166.49359999999999</v>
      </c>
      <c r="BH72" s="9">
        <v>1.1472</v>
      </c>
      <c r="BI72" s="9">
        <v>461.96359999999999</v>
      </c>
      <c r="BJ72" s="9">
        <v>4.7750000000000004</v>
      </c>
      <c r="BK72" s="9">
        <v>1811</v>
      </c>
      <c r="BL72" s="9">
        <v>81.599999999999994</v>
      </c>
      <c r="BM72" s="9">
        <v>13</v>
      </c>
      <c r="BN72" s="9">
        <v>46</v>
      </c>
      <c r="BO72" s="9">
        <v>27.6</v>
      </c>
      <c r="BP72" s="9">
        <v>28.5</v>
      </c>
      <c r="BQ72" s="9">
        <v>0.6</v>
      </c>
      <c r="BR72" s="9">
        <v>0.7</v>
      </c>
      <c r="BS72" s="9">
        <v>306.75466080814965</v>
      </c>
      <c r="BT72" s="9">
        <v>227.08637759149445</v>
      </c>
      <c r="BU72" s="9">
        <v>0.78</v>
      </c>
      <c r="BV72" s="9">
        <v>0.64</v>
      </c>
      <c r="BW72" s="9">
        <v>35.453000000000003</v>
      </c>
      <c r="BX72" s="9">
        <v>16.751000000000001</v>
      </c>
      <c r="BY72" s="9">
        <v>12.451000000000001</v>
      </c>
      <c r="BZ72" s="9">
        <v>5.0919999999999996</v>
      </c>
      <c r="CA72" s="9">
        <v>20.929259111968733</v>
      </c>
      <c r="CB72" s="9">
        <v>3.0192221247124215E-2</v>
      </c>
      <c r="CC72" s="9">
        <v>270.98709559071568</v>
      </c>
      <c r="CD72" s="9">
        <v>8.7877438091046489</v>
      </c>
      <c r="CE72" s="9">
        <v>24.24019929400308</v>
      </c>
      <c r="CF72" s="9">
        <v>32.703942851926762</v>
      </c>
      <c r="CG72" s="9">
        <v>17.917042532578503</v>
      </c>
      <c r="CH72" s="9">
        <v>3.3078692174667461E-2</v>
      </c>
      <c r="CI72" s="9">
        <v>263.09843586445908</v>
      </c>
      <c r="CJ72" s="9">
        <v>10.350689538773135</v>
      </c>
      <c r="CK72" s="9">
        <v>25.809846527742664</v>
      </c>
      <c r="CL72" s="9">
        <v>29.926819026853515</v>
      </c>
      <c r="CM72" s="9">
        <v>809.60379999999998</v>
      </c>
      <c r="CN72" s="9">
        <v>152.91069999999999</v>
      </c>
      <c r="CO72" s="9">
        <v>480.38299999999998</v>
      </c>
      <c r="CP72" s="9">
        <v>1.8887</v>
      </c>
      <c r="CQ72" s="9">
        <v>809.60379999999998</v>
      </c>
      <c r="CR72" s="9">
        <v>22.683</v>
      </c>
      <c r="CS72" s="9">
        <v>4857</v>
      </c>
      <c r="CT72" s="9">
        <v>17.5</v>
      </c>
      <c r="CU72" s="9">
        <v>0.7</v>
      </c>
      <c r="CV72" s="9">
        <v>290.52808376429698</v>
      </c>
      <c r="CW72" s="9">
        <v>0.81</v>
      </c>
      <c r="CX72" s="9">
        <v>24.416456618183997</v>
      </c>
      <c r="CY72" s="9">
        <v>0.42653764220571039</v>
      </c>
      <c r="CZ72" s="9">
        <v>319.53152331603962</v>
      </c>
      <c r="DA72" s="9">
        <v>14.036323522193021</v>
      </c>
      <c r="DB72" s="9">
        <v>3.3429988789374128</v>
      </c>
      <c r="DC72" s="9">
        <v>38.138519287109375</v>
      </c>
      <c r="DD72" s="9">
        <v>82</v>
      </c>
      <c r="DE72" s="9">
        <v>86</v>
      </c>
      <c r="DF72" s="9">
        <v>118</v>
      </c>
      <c r="DG72" s="9">
        <v>90</v>
      </c>
      <c r="DH72" s="9">
        <v>9</v>
      </c>
      <c r="DI72" s="9">
        <v>5</v>
      </c>
      <c r="DJ72" s="9">
        <v>35.61</v>
      </c>
      <c r="DK72" s="9">
        <v>20.12</v>
      </c>
      <c r="DL72" s="9">
        <v>11.65</v>
      </c>
      <c r="DM72" s="9">
        <v>18.52</v>
      </c>
      <c r="DN72" s="9">
        <f t="shared" si="43"/>
        <v>8.4700000000000006</v>
      </c>
      <c r="DO72" s="9">
        <f t="shared" si="44"/>
        <v>0.57902584493041753</v>
      </c>
    </row>
    <row r="73" spans="1:119" x14ac:dyDescent="0.25">
      <c r="A73" s="12">
        <v>6</v>
      </c>
      <c r="B73" s="12">
        <v>9</v>
      </c>
      <c r="C73" s="14" t="s">
        <v>213</v>
      </c>
      <c r="D73" s="8" t="s">
        <v>223</v>
      </c>
      <c r="E73" s="8">
        <v>3</v>
      </c>
      <c r="F73" s="9">
        <v>36.5</v>
      </c>
      <c r="G73" s="9">
        <v>0</v>
      </c>
      <c r="H73" s="9">
        <v>3</v>
      </c>
      <c r="I73" s="9">
        <v>22.9</v>
      </c>
      <c r="J73" s="9">
        <v>0.3</v>
      </c>
      <c r="K73" s="9">
        <v>7.1</v>
      </c>
      <c r="L73" s="9">
        <v>0.12</v>
      </c>
      <c r="M73" s="9">
        <v>0.21600000000000003</v>
      </c>
      <c r="N73" s="9">
        <v>0.12</v>
      </c>
      <c r="O73" s="9">
        <v>0.105</v>
      </c>
      <c r="P73" s="9">
        <v>6.3E-2</v>
      </c>
      <c r="Q73" s="9">
        <v>8.3039827024591286</v>
      </c>
      <c r="R73" s="9">
        <v>0.37398379079203614</v>
      </c>
      <c r="S73" s="9">
        <v>297.21473261830647</v>
      </c>
      <c r="T73" s="9">
        <v>7.1294011053667292</v>
      </c>
      <c r="U73" s="9">
        <v>1.939456796200882</v>
      </c>
      <c r="V73" s="9">
        <v>28.95557975769043</v>
      </c>
      <c r="W73" s="9">
        <f>AVERAGE(X71:X72)</f>
        <v>8.3011499999999998</v>
      </c>
      <c r="X73" s="9">
        <f>AVERAGE(X71:X72)</f>
        <v>8.3011499999999998</v>
      </c>
      <c r="Y73" s="9">
        <f ca="1">AVERAGE(Y71:Y72)</f>
        <v>26.078699999999998</v>
      </c>
      <c r="Z73" s="9">
        <v>0.43609999999999999</v>
      </c>
      <c r="AA73" s="9">
        <v>60.861899999999999</v>
      </c>
      <c r="AB73" s="9">
        <v>9.0999999999999998E-2</v>
      </c>
      <c r="AC73" s="9">
        <v>216</v>
      </c>
      <c r="AD73" s="9">
        <v>46.3</v>
      </c>
      <c r="AE73" s="9">
        <v>5</v>
      </c>
      <c r="AF73" s="9">
        <v>10</v>
      </c>
      <c r="AG73" s="9">
        <v>32.4</v>
      </c>
      <c r="AH73" s="9">
        <v>17.7</v>
      </c>
      <c r="AI73" s="9">
        <v>0.5</v>
      </c>
      <c r="AJ73" s="9">
        <v>0.9</v>
      </c>
      <c r="AK73" s="9">
        <v>250.8</v>
      </c>
      <c r="AL73" s="9">
        <v>139.9</v>
      </c>
      <c r="AM73" s="9">
        <v>0.73</v>
      </c>
      <c r="AN73" s="9">
        <v>0.67</v>
      </c>
      <c r="AO73" s="9">
        <v>5.141</v>
      </c>
      <c r="AP73" s="9">
        <v>1.885</v>
      </c>
      <c r="AQ73" s="9">
        <v>4.0540000000000003</v>
      </c>
      <c r="AR73" s="9">
        <v>1.032</v>
      </c>
      <c r="AS73" s="9">
        <v>22.847836218331121</v>
      </c>
      <c r="AT73" s="9">
        <v>1.8037585026631598E-2</v>
      </c>
      <c r="AU73" s="9">
        <v>109.54455944330209</v>
      </c>
      <c r="AV73" s="9">
        <v>11.933272120952061</v>
      </c>
      <c r="AW73" s="9">
        <v>49.071715387847384</v>
      </c>
      <c r="AX73" s="9">
        <v>31.943219757690429</v>
      </c>
      <c r="AY73" s="11">
        <f>AVERAGE(AY71:AY72)</f>
        <v>15.445744886742485</v>
      </c>
      <c r="AZ73" s="11">
        <f t="shared" ref="AZ73:BD73" si="48">AVERAGE(AZ71:AZ72)</f>
        <v>1.9015018148601185E-2</v>
      </c>
      <c r="BA73" s="11">
        <f t="shared" si="48"/>
        <v>244.49921196377602</v>
      </c>
      <c r="BB73" s="11">
        <f t="shared" si="48"/>
        <v>8.3215958567022668</v>
      </c>
      <c r="BC73" s="11">
        <f t="shared" si="48"/>
        <v>25.827196847578996</v>
      </c>
      <c r="BD73" s="11">
        <f t="shared" si="48"/>
        <v>27.25810621404834</v>
      </c>
      <c r="BE73" s="9">
        <f>AVERAGE(BE71:BE72)</f>
        <v>451.17284999999998</v>
      </c>
      <c r="BF73" s="9">
        <f t="shared" ref="BF73:BJ73" si="49">AVERAGE(BF71:BF72)</f>
        <v>53.316200000000002</v>
      </c>
      <c r="BG73" s="9">
        <f t="shared" si="49"/>
        <v>167.49764999999999</v>
      </c>
      <c r="BH73" s="9">
        <f t="shared" si="49"/>
        <v>1.18255</v>
      </c>
      <c r="BI73" s="9">
        <f t="shared" si="49"/>
        <v>451.17284999999998</v>
      </c>
      <c r="BJ73" s="9">
        <f t="shared" si="49"/>
        <v>4.9530000000000003</v>
      </c>
      <c r="BK73" s="9">
        <v>1244</v>
      </c>
      <c r="BL73" s="9">
        <v>75.8</v>
      </c>
      <c r="BM73" s="9">
        <v>12</v>
      </c>
      <c r="BN73" s="9">
        <v>42</v>
      </c>
      <c r="BO73" s="9">
        <v>23.2</v>
      </c>
      <c r="BP73" s="9">
        <v>29.2</v>
      </c>
      <c r="BQ73" s="9">
        <v>0.6</v>
      </c>
      <c r="BR73" s="9">
        <v>0.7</v>
      </c>
      <c r="BS73" s="9">
        <v>300.30491339493415</v>
      </c>
      <c r="BT73" s="9">
        <v>230.67487711071743</v>
      </c>
      <c r="BU73" s="9">
        <v>0.76</v>
      </c>
      <c r="BV73" s="9">
        <v>0.67</v>
      </c>
      <c r="BW73" s="9">
        <v>28.923999999999999</v>
      </c>
      <c r="BX73" s="9">
        <v>16.513999999999999</v>
      </c>
      <c r="BY73" s="9">
        <v>14.012</v>
      </c>
      <c r="BZ73" s="9">
        <v>5.125</v>
      </c>
      <c r="CA73" s="9">
        <v>22.192230111924967</v>
      </c>
      <c r="CB73" s="9">
        <v>3.5229219575203939E-2</v>
      </c>
      <c r="CC73" s="9">
        <v>237.24545911199263</v>
      </c>
      <c r="CD73" s="9">
        <v>12.858640585090145</v>
      </c>
      <c r="CE73" s="9">
        <v>29.445613852367806</v>
      </c>
      <c r="CF73" s="9">
        <v>32.694646434690434</v>
      </c>
      <c r="CG73" s="9">
        <v>14.537057764220146</v>
      </c>
      <c r="CH73" s="9">
        <v>2.0022396908458709E-2</v>
      </c>
      <c r="CI73" s="9">
        <v>258.86158224128297</v>
      </c>
      <c r="CJ73" s="9">
        <v>6.5749358664446769</v>
      </c>
      <c r="CK73" s="9">
        <v>26.880280070935342</v>
      </c>
      <c r="CL73" s="9">
        <v>29.908226192380859</v>
      </c>
      <c r="CM73" s="9">
        <v>831.72069999999997</v>
      </c>
      <c r="CN73" s="9">
        <v>163.70429999999999</v>
      </c>
      <c r="CO73" s="9">
        <v>514.29240000000004</v>
      </c>
      <c r="CP73" s="9">
        <v>1.9682999999999999</v>
      </c>
      <c r="CQ73" s="9">
        <v>831.72069999999997</v>
      </c>
      <c r="CR73" s="9">
        <v>25.306999999999999</v>
      </c>
      <c r="CS73" s="9">
        <v>3169</v>
      </c>
      <c r="CT73" s="9">
        <v>21.1</v>
      </c>
      <c r="CU73" s="9">
        <v>0.8</v>
      </c>
      <c r="CV73" s="9">
        <v>292.1662979157914</v>
      </c>
      <c r="CW73" s="9">
        <v>0.81</v>
      </c>
      <c r="CX73" s="9">
        <v>24.326775132745322</v>
      </c>
      <c r="CY73" s="9">
        <v>0.42606155018802788</v>
      </c>
      <c r="CZ73" s="9">
        <v>319.79606897298845</v>
      </c>
      <c r="DA73" s="9">
        <v>14.02867414174775</v>
      </c>
      <c r="DB73" s="9">
        <v>3.3445776082067122</v>
      </c>
      <c r="DC73" s="9">
        <v>38.141952514648438</v>
      </c>
      <c r="DD73" s="9">
        <v>82</v>
      </c>
      <c r="DE73" s="9">
        <v>86</v>
      </c>
      <c r="DF73" s="9">
        <v>118</v>
      </c>
      <c r="DG73" s="9">
        <v>84</v>
      </c>
      <c r="DH73" s="9">
        <v>9</v>
      </c>
      <c r="DI73" s="9">
        <v>5</v>
      </c>
      <c r="DJ73" s="9">
        <v>36.119999999999997</v>
      </c>
      <c r="DK73" s="9">
        <v>20.65</v>
      </c>
      <c r="DL73" s="9">
        <v>11.89</v>
      </c>
      <c r="DM73" s="9">
        <v>18.09</v>
      </c>
      <c r="DN73" s="9">
        <f t="shared" si="43"/>
        <v>8.759999999999998</v>
      </c>
      <c r="DO73" s="9">
        <f t="shared" si="44"/>
        <v>0.57578692493946737</v>
      </c>
    </row>
    <row r="74" spans="1:119" x14ac:dyDescent="0.25">
      <c r="A74" s="12">
        <v>4</v>
      </c>
      <c r="B74" s="12">
        <v>10</v>
      </c>
      <c r="C74" s="14" t="s">
        <v>214</v>
      </c>
      <c r="D74" s="8" t="s">
        <v>223</v>
      </c>
      <c r="E74" s="8">
        <v>1</v>
      </c>
      <c r="F74" s="9">
        <v>44.5</v>
      </c>
      <c r="G74" s="9">
        <v>0</v>
      </c>
      <c r="H74" s="9">
        <v>3</v>
      </c>
      <c r="I74" s="9">
        <v>24.7</v>
      </c>
      <c r="J74" s="9">
        <v>0.7</v>
      </c>
      <c r="K74" s="9">
        <f>AVERAGE(K75:K76)</f>
        <v>11.100000000000001</v>
      </c>
      <c r="L74" s="9">
        <v>0.2</v>
      </c>
      <c r="M74" s="9">
        <v>0.57099999999999995</v>
      </c>
      <c r="N74" s="9">
        <v>0.25600000000000001</v>
      </c>
      <c r="O74" s="9">
        <v>0.19800000000000001</v>
      </c>
      <c r="P74" s="9">
        <v>9.0999999999999998E-2</v>
      </c>
      <c r="Q74" s="9">
        <v>7.4037798485272193</v>
      </c>
      <c r="R74" s="9">
        <v>0.3777619915910585</v>
      </c>
      <c r="S74" s="9">
        <v>301.66044052836492</v>
      </c>
      <c r="T74" s="9">
        <v>7.1902502747912864</v>
      </c>
      <c r="U74" s="9">
        <v>1.9378506638381308</v>
      </c>
      <c r="V74" s="9">
        <v>28.952205657958984</v>
      </c>
      <c r="W74" s="9">
        <v>126.8158</v>
      </c>
      <c r="X74" s="9">
        <f>AVERAGE(X75:X76)</f>
        <v>3.6646999999999998</v>
      </c>
      <c r="Y74" s="9">
        <v>24.569299999999998</v>
      </c>
      <c r="Z74" s="9">
        <v>0.61670000000000003</v>
      </c>
      <c r="AA74" s="9">
        <v>126.8158</v>
      </c>
      <c r="AB74" s="9">
        <v>0.379</v>
      </c>
      <c r="AC74" s="9">
        <v>486</v>
      </c>
      <c r="AD74" s="9">
        <v>65.099999999999994</v>
      </c>
      <c r="AE74" s="9">
        <v>5</v>
      </c>
      <c r="AF74" s="9">
        <v>15</v>
      </c>
      <c r="AG74" s="9">
        <v>41.6</v>
      </c>
      <c r="AH74" s="9">
        <v>38.5</v>
      </c>
      <c r="AI74" s="9">
        <v>0.8</v>
      </c>
      <c r="AJ74" s="9">
        <v>0.5</v>
      </c>
      <c r="AK74" s="9">
        <v>217.3</v>
      </c>
      <c r="AL74" s="9">
        <v>107.8</v>
      </c>
      <c r="AM74" s="9">
        <v>0.75</v>
      </c>
      <c r="AN74" s="9">
        <v>0.62</v>
      </c>
      <c r="AO74" s="9">
        <v>10.353999999999999</v>
      </c>
      <c r="AP74" s="9">
        <v>3.0790000000000002</v>
      </c>
      <c r="AQ74" s="9">
        <v>10.021000000000001</v>
      </c>
      <c r="AR74" s="9">
        <v>2.9870000000000001</v>
      </c>
      <c r="AS74" s="9">
        <v>23.954023464585248</v>
      </c>
      <c r="AT74" s="9">
        <v>5.0135636548744034E-2</v>
      </c>
      <c r="AU74" s="9">
        <v>226.06689530088502</v>
      </c>
      <c r="AV74" s="9">
        <v>14.488328988558603</v>
      </c>
      <c r="AW74" s="9">
        <v>25.452224779534784</v>
      </c>
      <c r="AX74" s="9">
        <v>31.939845657958983</v>
      </c>
      <c r="AY74" s="9">
        <v>12.527256820037255</v>
      </c>
      <c r="AZ74" s="9">
        <v>1.7487162467628884E-2</v>
      </c>
      <c r="BA74" s="9">
        <v>167.9902146492027</v>
      </c>
      <c r="BB74" s="9">
        <v>7.235898976371077</v>
      </c>
      <c r="BC74" s="9">
        <v>38.762865068448754</v>
      </c>
      <c r="BD74" s="9">
        <v>26.997872334958984</v>
      </c>
      <c r="BE74" s="9">
        <v>336.87060000000002</v>
      </c>
      <c r="BF74" s="9">
        <v>57.983499999999999</v>
      </c>
      <c r="BG74" s="9">
        <v>182.16069999999999</v>
      </c>
      <c r="BH74" s="9">
        <v>1.7212000000000001</v>
      </c>
      <c r="BI74" s="9">
        <v>336.87060000000002</v>
      </c>
      <c r="BJ74" s="9">
        <v>7.8390000000000004</v>
      </c>
      <c r="BK74" s="9">
        <v>906</v>
      </c>
      <c r="BL74" s="9">
        <v>83</v>
      </c>
      <c r="BM74" s="9">
        <v>4</v>
      </c>
      <c r="BN74" s="9">
        <v>16</v>
      </c>
      <c r="BO74" s="9">
        <v>25</v>
      </c>
      <c r="BP74" s="9">
        <v>38.799999999999997</v>
      </c>
      <c r="BQ74" s="9">
        <v>1</v>
      </c>
      <c r="BR74" s="9">
        <v>1</v>
      </c>
      <c r="BS74" s="9">
        <v>339.79455395320798</v>
      </c>
      <c r="BT74" s="9">
        <v>243.07664669081117</v>
      </c>
      <c r="BU74" s="9">
        <v>0.75</v>
      </c>
      <c r="BV74" s="9">
        <v>0.69</v>
      </c>
      <c r="BW74" s="9">
        <v>14.29</v>
      </c>
      <c r="BX74" s="9">
        <v>10.975</v>
      </c>
      <c r="BY74" s="9">
        <v>6.7320000000000002</v>
      </c>
      <c r="BZ74" s="9">
        <v>4.5209999999999999</v>
      </c>
      <c r="CA74" s="9">
        <v>20.720501898082766</v>
      </c>
      <c r="CB74" s="9">
        <v>2.8110684220037725E-2</v>
      </c>
      <c r="CC74" s="9">
        <v>249.3884795447475</v>
      </c>
      <c r="CD74" s="9">
        <v>9.5088859684488707</v>
      </c>
      <c r="CE74" s="9">
        <v>27.788800343174092</v>
      </c>
      <c r="CF74" s="9">
        <v>32.691272334958988</v>
      </c>
      <c r="CG74" s="9">
        <v>14.593554644879523</v>
      </c>
      <c r="CH74" s="9">
        <v>2.7987197534288456E-2</v>
      </c>
      <c r="CI74" s="9">
        <v>277.59345427474057</v>
      </c>
      <c r="CJ74" s="9">
        <v>8.1289893644983717</v>
      </c>
      <c r="CK74" s="9">
        <v>24.197021131132708</v>
      </c>
      <c r="CL74" s="9">
        <v>29.901477992917968</v>
      </c>
      <c r="CM74" s="9">
        <f>AVERAGE(CM75:CM76)</f>
        <v>1410.0493999999999</v>
      </c>
      <c r="CN74" s="9">
        <v>102.69070000000001</v>
      </c>
      <c r="CO74" s="9">
        <f>AVERAGE(CO75:CO76)</f>
        <v>686.36750000000006</v>
      </c>
      <c r="CP74" s="9">
        <v>1.2665</v>
      </c>
      <c r="CQ74" s="9">
        <f>AVERAGE(CQ75:CQ76)</f>
        <v>1410.0493999999999</v>
      </c>
      <c r="CR74" s="9">
        <v>10.215</v>
      </c>
      <c r="CS74" s="9">
        <v>3483</v>
      </c>
      <c r="CT74" s="9">
        <v>23.9</v>
      </c>
      <c r="CU74" s="9">
        <v>1</v>
      </c>
      <c r="CV74" s="9">
        <v>232.46142871452582</v>
      </c>
      <c r="CW74" s="9">
        <v>0.81</v>
      </c>
      <c r="CX74" s="9">
        <v>18.759927079331437</v>
      </c>
      <c r="CY74" s="9">
        <v>0.32325808282983715</v>
      </c>
      <c r="CZ74" s="9">
        <v>320.66171249804125</v>
      </c>
      <c r="DA74" s="9">
        <v>10.427777484024153</v>
      </c>
      <c r="DB74" s="9">
        <v>3.2251210437018236</v>
      </c>
      <c r="DC74" s="9">
        <v>37.810882568359375</v>
      </c>
      <c r="DD74" s="9">
        <v>83</v>
      </c>
      <c r="DE74" s="9">
        <v>86</v>
      </c>
      <c r="DF74" s="9">
        <v>118</v>
      </c>
      <c r="DG74" s="9">
        <v>106</v>
      </c>
      <c r="DH74" s="9">
        <v>5</v>
      </c>
      <c r="DI74" s="9">
        <v>4</v>
      </c>
      <c r="DJ74" s="9">
        <v>35.270000000000003</v>
      </c>
      <c r="DK74" s="9">
        <v>25.15</v>
      </c>
      <c r="DL74" s="9">
        <v>10.16</v>
      </c>
      <c r="DM74" s="9">
        <v>16.05</v>
      </c>
      <c r="DN74" s="9">
        <f t="shared" si="43"/>
        <v>14.989999999999998</v>
      </c>
      <c r="DO74" s="9">
        <f t="shared" si="44"/>
        <v>0.4039761431411531</v>
      </c>
    </row>
    <row r="75" spans="1:119" x14ac:dyDescent="0.25">
      <c r="A75" s="12">
        <v>5</v>
      </c>
      <c r="B75" s="12">
        <v>10</v>
      </c>
      <c r="C75" s="14" t="s">
        <v>214</v>
      </c>
      <c r="D75" s="8" t="s">
        <v>223</v>
      </c>
      <c r="E75" s="8">
        <v>2</v>
      </c>
      <c r="F75" s="9">
        <v>36.700000000000003</v>
      </c>
      <c r="G75" s="9">
        <v>0</v>
      </c>
      <c r="H75" s="9">
        <v>3</v>
      </c>
      <c r="I75" s="9">
        <v>24.8</v>
      </c>
      <c r="J75" s="9">
        <v>0.4</v>
      </c>
      <c r="K75" s="9">
        <v>10.8</v>
      </c>
      <c r="L75" s="9">
        <v>0.1</v>
      </c>
      <c r="M75" s="9">
        <v>0.189</v>
      </c>
      <c r="N75" s="9">
        <v>0.15</v>
      </c>
      <c r="O75" s="9">
        <v>9.8000000000000004E-2</v>
      </c>
      <c r="P75" s="9">
        <v>8.6999999999999994E-2</v>
      </c>
      <c r="Q75" s="9">
        <v>7.6236774902289586</v>
      </c>
      <c r="R75" s="9">
        <v>0.37911164382069462</v>
      </c>
      <c r="S75" s="9">
        <v>300.7010298124938</v>
      </c>
      <c r="T75" s="9">
        <v>7.2149508760382082</v>
      </c>
      <c r="U75" s="9">
        <v>1.9380773402867515</v>
      </c>
      <c r="V75" s="9">
        <v>28.955080032348633</v>
      </c>
      <c r="W75" s="9">
        <v>90.919200000000004</v>
      </c>
      <c r="X75" s="9">
        <v>3.1956000000000002</v>
      </c>
      <c r="Y75" s="9">
        <v>10.039400000000001</v>
      </c>
      <c r="Z75" s="9">
        <v>0.52339999999999998</v>
      </c>
      <c r="AA75" s="9">
        <v>61.054099999999998</v>
      </c>
      <c r="AB75" s="9">
        <v>0.13100000000000001</v>
      </c>
      <c r="AC75" s="9">
        <v>230</v>
      </c>
      <c r="AD75" s="9">
        <v>62.4</v>
      </c>
      <c r="AE75" s="9">
        <v>4</v>
      </c>
      <c r="AF75" s="9">
        <v>16</v>
      </c>
      <c r="AG75" s="9">
        <v>39.5</v>
      </c>
      <c r="AH75" s="9">
        <v>33.6</v>
      </c>
      <c r="AI75" s="9">
        <v>0.9</v>
      </c>
      <c r="AJ75" s="9">
        <v>0.5</v>
      </c>
      <c r="AK75" s="9">
        <v>265.89999999999998</v>
      </c>
      <c r="AL75" s="9">
        <v>165.7</v>
      </c>
      <c r="AM75" s="9">
        <v>0.76</v>
      </c>
      <c r="AN75" s="9">
        <v>0.65</v>
      </c>
      <c r="AO75" s="9">
        <v>9.8149999999999995</v>
      </c>
      <c r="AP75" s="9">
        <v>2.8759999999999999</v>
      </c>
      <c r="AQ75" s="9">
        <v>7.9509999999999996</v>
      </c>
      <c r="AR75" s="9">
        <v>2.0230000000000001</v>
      </c>
      <c r="AS75" s="9">
        <v>17.404063847534971</v>
      </c>
      <c r="AT75" s="9">
        <v>3.013997934366569E-2</v>
      </c>
      <c r="AU75" s="9">
        <v>229.97391066544941</v>
      </c>
      <c r="AV75" s="9">
        <v>8.8159859384026245</v>
      </c>
      <c r="AW75" s="9">
        <v>26.235343258053025</v>
      </c>
      <c r="AX75" s="9">
        <v>31.942720032348632</v>
      </c>
      <c r="AY75" s="9">
        <v>3.4752467937875942</v>
      </c>
      <c r="AZ75" s="9">
        <v>3.6783740707921342E-3</v>
      </c>
      <c r="BA75" s="9">
        <v>233.48880940399772</v>
      </c>
      <c r="BB75" s="9">
        <v>1.263522620118215</v>
      </c>
      <c r="BC75" s="9">
        <v>27.879049779370014</v>
      </c>
      <c r="BD75" s="9">
        <v>27.000746709348633</v>
      </c>
      <c r="BE75" s="9">
        <v>341.74770000000001</v>
      </c>
      <c r="BF75" s="9">
        <v>43.2455</v>
      </c>
      <c r="BG75" s="9">
        <v>135.85990000000001</v>
      </c>
      <c r="BH75" s="9">
        <v>1.2654000000000001</v>
      </c>
      <c r="BI75" s="9">
        <v>341.74770000000001</v>
      </c>
      <c r="BJ75" s="9">
        <v>4.298</v>
      </c>
      <c r="BK75" s="9">
        <v>1383</v>
      </c>
      <c r="BL75" s="9">
        <v>87.5</v>
      </c>
      <c r="BM75" s="9">
        <v>4</v>
      </c>
      <c r="BN75" s="9">
        <v>15</v>
      </c>
      <c r="BO75" s="9">
        <v>29.2</v>
      </c>
      <c r="BP75" s="9">
        <v>31.5</v>
      </c>
      <c r="BQ75" s="9">
        <v>0.8</v>
      </c>
      <c r="BR75" s="9">
        <v>1</v>
      </c>
      <c r="BS75" s="9">
        <v>322.65359817659578</v>
      </c>
      <c r="BT75" s="9">
        <v>232.46142871452582</v>
      </c>
      <c r="BU75" s="9">
        <v>0.76</v>
      </c>
      <c r="BV75" s="9">
        <v>0.65</v>
      </c>
      <c r="BW75" s="9">
        <v>18.614000000000001</v>
      </c>
      <c r="BX75" s="9">
        <v>13.651999999999999</v>
      </c>
      <c r="BY75" s="9">
        <v>6.9850000000000003</v>
      </c>
      <c r="BZ75" s="9">
        <v>4.0910000000000002</v>
      </c>
      <c r="CA75" s="9">
        <v>20.87153883141195</v>
      </c>
      <c r="CB75" s="9">
        <v>2.9900109167878636E-2</v>
      </c>
      <c r="CC75" s="9">
        <v>270.96276921388363</v>
      </c>
      <c r="CD75" s="9">
        <v>8.708448432788348</v>
      </c>
      <c r="CE75" s="9">
        <v>24.253601578490141</v>
      </c>
      <c r="CF75" s="9">
        <v>32.694146709348637</v>
      </c>
      <c r="CG75" s="9">
        <v>18.081175851498024</v>
      </c>
      <c r="CH75" s="9">
        <v>3.2396418884525512E-2</v>
      </c>
      <c r="CI75" s="9">
        <v>260.30348070477714</v>
      </c>
      <c r="CJ75" s="9">
        <v>10.327785954027169</v>
      </c>
      <c r="CK75" s="9">
        <v>26.231259510747577</v>
      </c>
      <c r="CL75" s="9">
        <v>29.907226741697265</v>
      </c>
      <c r="CM75" s="9">
        <v>1153.1913999999999</v>
      </c>
      <c r="CN75" s="9">
        <v>225.82810000000001</v>
      </c>
      <c r="CO75" s="9">
        <v>709.45979999999997</v>
      </c>
      <c r="CP75" s="9">
        <v>1.9582999999999999</v>
      </c>
      <c r="CQ75" s="9">
        <v>1153.1913999999999</v>
      </c>
      <c r="CR75" s="9">
        <v>34.732999999999997</v>
      </c>
      <c r="CS75" s="9">
        <v>6069</v>
      </c>
      <c r="CT75" s="9">
        <v>22.1</v>
      </c>
      <c r="CU75" s="9">
        <v>1</v>
      </c>
      <c r="CV75" s="9">
        <v>253.52188527721665</v>
      </c>
      <c r="CW75" s="9">
        <v>0.82</v>
      </c>
      <c r="CX75" s="9">
        <v>18.796189983759572</v>
      </c>
      <c r="CY75" s="9">
        <v>0.32270173440698108</v>
      </c>
      <c r="CZ75" s="9">
        <v>320.30960712378055</v>
      </c>
      <c r="DA75" s="9">
        <v>10.414362130100104</v>
      </c>
      <c r="DB75" s="9">
        <v>3.2261390542172323</v>
      </c>
      <c r="DC75" s="9">
        <v>37.812232971191406</v>
      </c>
      <c r="DD75" s="9">
        <v>83</v>
      </c>
      <c r="DE75" s="9">
        <v>86</v>
      </c>
      <c r="DF75" s="9">
        <v>118</v>
      </c>
      <c r="DG75" s="9">
        <v>97</v>
      </c>
      <c r="DH75" s="9">
        <v>5</v>
      </c>
      <c r="DI75" s="9">
        <v>3</v>
      </c>
      <c r="DJ75" s="9">
        <v>35.119999999999997</v>
      </c>
      <c r="DK75" s="9">
        <v>24.97</v>
      </c>
      <c r="DL75" s="9">
        <v>9.5399999999999991</v>
      </c>
      <c r="DM75" s="9">
        <v>15.54</v>
      </c>
      <c r="DN75" s="9">
        <f t="shared" si="43"/>
        <v>15.43</v>
      </c>
      <c r="DO75" s="9">
        <f t="shared" si="44"/>
        <v>0.38205847016419703</v>
      </c>
    </row>
    <row r="76" spans="1:119" x14ac:dyDescent="0.25">
      <c r="A76" s="12">
        <v>6</v>
      </c>
      <c r="B76" s="12">
        <v>10</v>
      </c>
      <c r="C76" s="14" t="s">
        <v>214</v>
      </c>
      <c r="D76" s="8" t="s">
        <v>223</v>
      </c>
      <c r="E76" s="8">
        <v>3</v>
      </c>
      <c r="F76" s="9">
        <v>42.5</v>
      </c>
      <c r="G76" s="9">
        <v>0</v>
      </c>
      <c r="H76" s="9">
        <v>3</v>
      </c>
      <c r="I76" s="9">
        <v>28.8</v>
      </c>
      <c r="J76" s="9">
        <v>0.5</v>
      </c>
      <c r="K76" s="9">
        <v>11.4</v>
      </c>
      <c r="L76" s="9">
        <v>0.1</v>
      </c>
      <c r="M76" s="9">
        <v>0.44600000000000001</v>
      </c>
      <c r="N76" s="9">
        <v>0.23</v>
      </c>
      <c r="O76" s="9">
        <v>0.16500000000000001</v>
      </c>
      <c r="P76" s="9">
        <v>8.1000000000000003E-2</v>
      </c>
      <c r="Q76" s="9">
        <v>7.4824919816752908</v>
      </c>
      <c r="R76" s="9">
        <v>0.38084933946421129</v>
      </c>
      <c r="S76" s="9">
        <v>301.45636252540709</v>
      </c>
      <c r="T76" s="9">
        <v>7.2411509530424851</v>
      </c>
      <c r="U76" s="9">
        <v>1.9368951891416812</v>
      </c>
      <c r="V76" s="9">
        <v>28.951000213623047</v>
      </c>
      <c r="W76" s="11">
        <f>AVERAGE(W74:W75)</f>
        <v>108.86750000000001</v>
      </c>
      <c r="X76" s="9">
        <v>4.1337999999999999</v>
      </c>
      <c r="Y76" s="9">
        <v>12.986800000000001</v>
      </c>
      <c r="Z76" s="9">
        <v>0.45469999999999999</v>
      </c>
      <c r="AA76" s="9">
        <v>90.919200000000004</v>
      </c>
      <c r="AB76" s="9">
        <v>0.14799999999999999</v>
      </c>
      <c r="AC76" s="9">
        <v>367</v>
      </c>
      <c r="AD76" s="9">
        <v>65</v>
      </c>
      <c r="AE76" s="9">
        <v>5</v>
      </c>
      <c r="AF76" s="9">
        <v>16</v>
      </c>
      <c r="AG76" s="9">
        <v>41.2</v>
      </c>
      <c r="AH76" s="9">
        <v>33.5</v>
      </c>
      <c r="AI76" s="9">
        <v>0.8</v>
      </c>
      <c r="AJ76" s="9">
        <v>0.4</v>
      </c>
      <c r="AK76" s="9">
        <v>249.2</v>
      </c>
      <c r="AL76" s="9">
        <v>143.80000000000001</v>
      </c>
      <c r="AM76" s="9">
        <v>0.79</v>
      </c>
      <c r="AN76" s="9">
        <v>0.64</v>
      </c>
      <c r="AO76" s="9">
        <v>11.243</v>
      </c>
      <c r="AP76" s="9">
        <v>3.512</v>
      </c>
      <c r="AQ76" s="9">
        <v>7.3419999999999996</v>
      </c>
      <c r="AR76" s="9">
        <v>2.0760000000000001</v>
      </c>
      <c r="AS76" s="9">
        <v>22.977619605536109</v>
      </c>
      <c r="AT76" s="9">
        <v>1.4523702915656569E-2</v>
      </c>
      <c r="AU76" s="9">
        <v>58.920520397809923</v>
      </c>
      <c r="AV76" s="9">
        <v>12.610832841578766</v>
      </c>
      <c r="AW76" s="9">
        <v>59.269906681634666</v>
      </c>
      <c r="AX76" s="9">
        <v>31.938640213623046</v>
      </c>
      <c r="AY76" s="9">
        <v>2.6195228835202</v>
      </c>
      <c r="AZ76" s="9">
        <v>3.8436295135875023E-3</v>
      </c>
      <c r="BA76" s="9">
        <v>255.98063989758072</v>
      </c>
      <c r="BB76" s="9">
        <v>1.1169434972007566</v>
      </c>
      <c r="BC76" s="9">
        <v>24.105410136999701</v>
      </c>
      <c r="BD76" s="9">
        <v>26.996666890623047</v>
      </c>
      <c r="BE76" s="9">
        <v>357.50069999999999</v>
      </c>
      <c r="BF76" s="9">
        <v>42.7378</v>
      </c>
      <c r="BG76" s="9">
        <v>134.2647</v>
      </c>
      <c r="BH76" s="9">
        <v>1.1955</v>
      </c>
      <c r="BI76" s="9">
        <v>357.50069999999999</v>
      </c>
      <c r="BJ76" s="9">
        <v>4.0129999999999999</v>
      </c>
      <c r="BK76" s="9">
        <v>1590</v>
      </c>
      <c r="BL76" s="9">
        <v>89.6</v>
      </c>
      <c r="BM76" s="9">
        <v>4</v>
      </c>
      <c r="BN76" s="9">
        <v>15</v>
      </c>
      <c r="BO76" s="9">
        <v>30.1</v>
      </c>
      <c r="BP76" s="9">
        <v>39.200000000000003</v>
      </c>
      <c r="BQ76" s="9">
        <v>0.8</v>
      </c>
      <c r="BR76" s="9">
        <v>1</v>
      </c>
      <c r="BS76" s="9">
        <v>316.33161421276441</v>
      </c>
      <c r="BT76" s="9">
        <v>236.01943379824945</v>
      </c>
      <c r="BU76" s="9">
        <v>0.79</v>
      </c>
      <c r="BV76" s="9">
        <v>0.64</v>
      </c>
      <c r="BW76" s="9">
        <v>18.417000000000002</v>
      </c>
      <c r="BX76" s="9">
        <v>12.984999999999999</v>
      </c>
      <c r="BY76" s="9">
        <v>6.992</v>
      </c>
      <c r="BZ76" s="9">
        <v>4.0910000000000002</v>
      </c>
      <c r="CA76" s="9">
        <v>29.881184817152967</v>
      </c>
      <c r="CB76" s="9">
        <v>2.8150208972712559E-2</v>
      </c>
      <c r="CC76" s="9">
        <v>212.94246464811869</v>
      </c>
      <c r="CD76" s="9">
        <v>11.454453845140023</v>
      </c>
      <c r="CE76" s="9">
        <v>32.36238724385445</v>
      </c>
      <c r="CF76" s="9">
        <v>32.690066890623051</v>
      </c>
      <c r="CG76" s="9">
        <v>14.613979117624861</v>
      </c>
      <c r="CH76" s="9">
        <v>2.0486241483937007E-2</v>
      </c>
      <c r="CI76" s="9">
        <v>261.42000095463982</v>
      </c>
      <c r="CJ76" s="9">
        <v>6.6039563561724766</v>
      </c>
      <c r="CK76" s="9">
        <v>26.469053233196398</v>
      </c>
      <c r="CL76" s="9">
        <v>29.899067104246093</v>
      </c>
      <c r="CM76" s="9">
        <v>1666.9074000000001</v>
      </c>
      <c r="CN76" s="9">
        <v>211.12700000000001</v>
      </c>
      <c r="CO76" s="9">
        <v>663.27520000000004</v>
      </c>
      <c r="CP76" s="9">
        <v>1.2665999999999999</v>
      </c>
      <c r="CQ76" s="9">
        <v>1666.9074000000001</v>
      </c>
      <c r="CR76" s="9">
        <v>21.001999999999999</v>
      </c>
      <c r="CS76" s="9">
        <v>5821</v>
      </c>
      <c r="CT76" s="9">
        <v>21.6</v>
      </c>
      <c r="CU76" s="9">
        <v>1</v>
      </c>
      <c r="CV76" s="9">
        <v>258.68415098065896</v>
      </c>
      <c r="CW76" s="9">
        <v>0.82</v>
      </c>
      <c r="CX76" s="9">
        <v>18.819446348880046</v>
      </c>
      <c r="CY76" s="9">
        <v>0.32234787499087619</v>
      </c>
      <c r="CZ76" s="9">
        <v>320.11146514913736</v>
      </c>
      <c r="DA76" s="9">
        <v>10.404531686071007</v>
      </c>
      <c r="DB76" s="9">
        <v>3.2264086788352322</v>
      </c>
      <c r="DC76" s="9">
        <v>37.811695098876953</v>
      </c>
      <c r="DD76" s="9">
        <v>83</v>
      </c>
      <c r="DE76" s="9">
        <v>86</v>
      </c>
      <c r="DF76" s="9">
        <v>118</v>
      </c>
      <c r="DG76" s="9">
        <v>113</v>
      </c>
      <c r="DH76" s="9">
        <v>8</v>
      </c>
      <c r="DI76" s="9">
        <v>5</v>
      </c>
      <c r="DJ76" s="9">
        <v>36.54</v>
      </c>
      <c r="DK76" s="9">
        <v>25.35</v>
      </c>
      <c r="DL76" s="9">
        <v>10.17</v>
      </c>
      <c r="DM76" s="9">
        <v>16.190000000000001</v>
      </c>
      <c r="DN76" s="9">
        <f t="shared" si="43"/>
        <v>15.180000000000001</v>
      </c>
      <c r="DO76" s="9">
        <f t="shared" si="44"/>
        <v>0.40118343195266271</v>
      </c>
    </row>
    <row r="77" spans="1:119" x14ac:dyDescent="0.25">
      <c r="A77" s="12">
        <v>4</v>
      </c>
      <c r="B77" s="12">
        <v>11</v>
      </c>
      <c r="C77" s="14" t="s">
        <v>215</v>
      </c>
      <c r="D77" s="8" t="s">
        <v>223</v>
      </c>
      <c r="E77" s="8">
        <v>1</v>
      </c>
      <c r="F77" s="9">
        <v>45.6</v>
      </c>
      <c r="G77" s="9">
        <v>0</v>
      </c>
      <c r="H77" s="9">
        <v>3</v>
      </c>
      <c r="I77" s="9">
        <v>27.5</v>
      </c>
      <c r="J77" s="9">
        <v>0.4</v>
      </c>
      <c r="K77" s="9">
        <v>15.6</v>
      </c>
      <c r="L77" s="9">
        <v>0.2</v>
      </c>
      <c r="M77" s="9">
        <v>0.36699999999999999</v>
      </c>
      <c r="N77" s="9">
        <v>0.215</v>
      </c>
      <c r="O77" s="9">
        <v>0.115</v>
      </c>
      <c r="P77" s="9">
        <v>9.9000000000000005E-2</v>
      </c>
      <c r="Q77" s="9">
        <v>5.8040374677660331</v>
      </c>
      <c r="R77" s="9">
        <v>5.7201228205479293E-2</v>
      </c>
      <c r="S77" s="9">
        <v>170.18944146157901</v>
      </c>
      <c r="T77" s="9">
        <v>1.4118412112152026</v>
      </c>
      <c r="U77" s="9">
        <v>2.3589840408799017</v>
      </c>
      <c r="V77" s="9">
        <v>29.722293853759766</v>
      </c>
      <c r="W77" s="9">
        <v>351.4128</v>
      </c>
      <c r="X77" s="9">
        <v>13.0846</v>
      </c>
      <c r="Y77" s="9">
        <v>41.1066</v>
      </c>
      <c r="Z77" s="9">
        <v>0.37230000000000002</v>
      </c>
      <c r="AA77" s="9">
        <v>351.4128</v>
      </c>
      <c r="AB77" s="9">
        <v>0.38300000000000001</v>
      </c>
      <c r="AC77" s="9">
        <v>1718</v>
      </c>
      <c r="AD77" s="9">
        <v>57.6</v>
      </c>
      <c r="AE77" s="9">
        <v>3</v>
      </c>
      <c r="AF77" s="9">
        <v>8</v>
      </c>
      <c r="AG77" s="9">
        <v>39.299999999999997</v>
      </c>
      <c r="AH77" s="9">
        <v>37.700000000000003</v>
      </c>
      <c r="AI77" s="9">
        <v>0.9</v>
      </c>
      <c r="AJ77" s="9">
        <v>0.4</v>
      </c>
      <c r="AK77" s="9">
        <v>308.3</v>
      </c>
      <c r="AL77" s="9">
        <v>165.7</v>
      </c>
      <c r="AM77" s="9">
        <v>0.76</v>
      </c>
      <c r="AN77" s="9">
        <v>0.67</v>
      </c>
      <c r="AO77" s="9">
        <v>3.4710000000000001</v>
      </c>
      <c r="AP77" s="9">
        <v>1.0920000000000001</v>
      </c>
      <c r="AQ77" s="9">
        <v>2.8940000000000001</v>
      </c>
      <c r="AR77" s="9">
        <v>9.9000000000000005E-2</v>
      </c>
      <c r="AS77" s="9">
        <f>AVERAGE(AS78:AS79)</f>
        <v>17.269631766492644</v>
      </c>
      <c r="AT77" s="9">
        <f t="shared" ref="AT77:AW77" si="50">AVERAGE(AT78:AT79)</f>
        <v>3.2657982186507221E-2</v>
      </c>
      <c r="AU77" s="9">
        <f t="shared" si="50"/>
        <v>222.84383434145451</v>
      </c>
      <c r="AV77" s="9">
        <f t="shared" si="50"/>
        <v>9.9646350690767544</v>
      </c>
      <c r="AW77" s="9">
        <f t="shared" si="50"/>
        <v>26.884360699906289</v>
      </c>
      <c r="AX77" s="9">
        <v>32.709933853759765</v>
      </c>
      <c r="AY77" s="9">
        <f>AVERAGE(AY78:AY79)</f>
        <v>12.935358334731024</v>
      </c>
      <c r="AZ77" s="9">
        <f t="shared" ref="AZ77:BC77" si="51">AVERAGE(AZ78:AZ79)</f>
        <v>1.5194468507051874E-2</v>
      </c>
      <c r="BA77" s="9">
        <f t="shared" si="51"/>
        <v>214.69830186007403</v>
      </c>
      <c r="BB77" s="9">
        <f t="shared" si="51"/>
        <v>5.5233927159141603</v>
      </c>
      <c r="BC77" s="9">
        <f t="shared" si="51"/>
        <v>29.751806016152251</v>
      </c>
      <c r="BD77" s="9">
        <v>27.767960530759765</v>
      </c>
      <c r="BE77" s="9">
        <v>263.9153</v>
      </c>
      <c r="BF77" s="9">
        <v>28.1858</v>
      </c>
      <c r="BG77" s="9">
        <v>88.548400000000001</v>
      </c>
      <c r="BH77" s="9">
        <v>1.0680000000000001</v>
      </c>
      <c r="BI77" s="9">
        <v>263.9153</v>
      </c>
      <c r="BJ77" s="9">
        <v>2.3639999999999999</v>
      </c>
      <c r="BK77" s="9">
        <v>857</v>
      </c>
      <c r="BL77" s="9">
        <v>81.5</v>
      </c>
      <c r="BM77" s="9">
        <v>7</v>
      </c>
      <c r="BN77" s="9">
        <v>23</v>
      </c>
      <c r="BO77" s="9">
        <v>26.9</v>
      </c>
      <c r="BP77" s="9">
        <v>30.9</v>
      </c>
      <c r="BQ77" s="9">
        <v>0.9</v>
      </c>
      <c r="BR77" s="9">
        <v>0.9</v>
      </c>
      <c r="BS77" s="9">
        <v>355.0850737644667</v>
      </c>
      <c r="BT77" s="9">
        <v>255.24700111142118</v>
      </c>
      <c r="BU77" s="9">
        <v>0.76</v>
      </c>
      <c r="BV77" s="9">
        <v>0.67</v>
      </c>
      <c r="BW77" s="9">
        <v>17.541</v>
      </c>
      <c r="BX77" s="9">
        <v>12.516999999999999</v>
      </c>
      <c r="BY77" s="9">
        <v>5.9870000000000001</v>
      </c>
      <c r="BZ77" s="9">
        <v>4.1120000000000001</v>
      </c>
      <c r="CA77" s="9">
        <v>26.159575549977831</v>
      </c>
      <c r="CB77" s="9">
        <v>1.524417586121157E-2</v>
      </c>
      <c r="CC77" s="9">
        <v>123.78431161221454</v>
      </c>
      <c r="CD77" s="9">
        <v>10.480642674954151</v>
      </c>
      <c r="CE77" s="9">
        <v>48.578583066855394</v>
      </c>
      <c r="CF77" s="9">
        <v>33.461360530759762</v>
      </c>
      <c r="CG77" s="9">
        <v>19.068846981314334</v>
      </c>
      <c r="CH77" s="9">
        <v>3.3910690644182818E-2</v>
      </c>
      <c r="CI77" s="9">
        <v>276.35164359485498</v>
      </c>
      <c r="CJ77" s="9">
        <v>9.6103165300994213</v>
      </c>
      <c r="CK77" s="9">
        <v>23.6830624740541</v>
      </c>
      <c r="CL77" s="9">
        <v>31.441654384519531</v>
      </c>
      <c r="CM77" s="9">
        <v>1056.6403</v>
      </c>
      <c r="CN77" s="9">
        <v>162.12979999999999</v>
      </c>
      <c r="CO77" s="9">
        <v>509.34570000000002</v>
      </c>
      <c r="CP77" s="9">
        <v>1.5344</v>
      </c>
      <c r="CQ77" s="9">
        <v>1056.6403</v>
      </c>
      <c r="CR77" s="9">
        <v>19.538</v>
      </c>
      <c r="CS77" s="9">
        <v>3920</v>
      </c>
      <c r="CT77" s="9">
        <v>12.6</v>
      </c>
      <c r="CU77" s="9">
        <v>0.9</v>
      </c>
      <c r="CV77" s="9">
        <v>297.05983540153409</v>
      </c>
      <c r="CW77" s="9">
        <v>0.82</v>
      </c>
      <c r="CX77" s="9">
        <v>17.575905021430852</v>
      </c>
      <c r="CY77" s="9">
        <v>0.3269800652584004</v>
      </c>
      <c r="CZ77" s="9">
        <v>328.08034023826804</v>
      </c>
      <c r="DA77" s="9">
        <v>10.494854395506454</v>
      </c>
      <c r="DB77" s="9">
        <v>3.2111517187878049</v>
      </c>
      <c r="DC77" s="9">
        <v>37.813949584960938</v>
      </c>
      <c r="DD77" s="9">
        <v>73</v>
      </c>
      <c r="DE77" s="9">
        <v>78</v>
      </c>
      <c r="DF77" s="9">
        <v>107</v>
      </c>
      <c r="DG77" s="9">
        <v>86</v>
      </c>
      <c r="DH77" s="9">
        <v>8</v>
      </c>
      <c r="DI77" s="9">
        <v>7</v>
      </c>
      <c r="DJ77" s="9">
        <v>38.57</v>
      </c>
      <c r="DK77" s="9">
        <v>26.47</v>
      </c>
      <c r="DL77" s="9">
        <v>11.6</v>
      </c>
      <c r="DM77" s="9">
        <v>14.7</v>
      </c>
      <c r="DN77" s="9">
        <f t="shared" si="43"/>
        <v>14.87</v>
      </c>
      <c r="DO77" s="9">
        <f t="shared" si="44"/>
        <v>0.43823196071023801</v>
      </c>
    </row>
    <row r="78" spans="1:119" x14ac:dyDescent="0.25">
      <c r="A78" s="12">
        <v>5</v>
      </c>
      <c r="B78" s="12">
        <v>11</v>
      </c>
      <c r="C78" s="14" t="s">
        <v>215</v>
      </c>
      <c r="D78" s="8" t="s">
        <v>223</v>
      </c>
      <c r="E78" s="8">
        <v>2</v>
      </c>
      <c r="F78" s="9">
        <v>44.8</v>
      </c>
      <c r="G78" s="9">
        <v>0</v>
      </c>
      <c r="H78" s="9">
        <v>3</v>
      </c>
      <c r="I78" s="9">
        <v>27.4</v>
      </c>
      <c r="J78" s="9">
        <v>0.6</v>
      </c>
      <c r="K78" s="9">
        <v>16.7</v>
      </c>
      <c r="L78" s="9">
        <v>0.15</v>
      </c>
      <c r="M78" s="9">
        <v>0.39400000000000002</v>
      </c>
      <c r="N78" s="9">
        <v>0.215</v>
      </c>
      <c r="O78" s="9">
        <v>0.129</v>
      </c>
      <c r="P78" s="9">
        <v>0.10100000000000001</v>
      </c>
      <c r="Q78" s="9">
        <v>5.1754677090793377</v>
      </c>
      <c r="R78" s="9">
        <v>2.6028859511657919E-2</v>
      </c>
      <c r="S78" s="9">
        <v>170.62476646421399</v>
      </c>
      <c r="T78" s="9">
        <v>1.6750811263604799</v>
      </c>
      <c r="U78" s="9">
        <v>2.462178854552616</v>
      </c>
      <c r="V78" s="9">
        <v>30.013750076293945</v>
      </c>
      <c r="W78" s="9">
        <v>362.55070000000001</v>
      </c>
      <c r="X78" s="9">
        <v>14.828900000000001</v>
      </c>
      <c r="Y78" s="9">
        <v>46.586300000000001</v>
      </c>
      <c r="Z78" s="9">
        <v>0.40899999999999997</v>
      </c>
      <c r="AA78" s="9">
        <v>362.55070000000001</v>
      </c>
      <c r="AB78" s="9">
        <v>0.47599999999999998</v>
      </c>
      <c r="AC78" s="9">
        <v>1678</v>
      </c>
      <c r="AD78" s="9">
        <v>67.2</v>
      </c>
      <c r="AE78" s="9">
        <v>2</v>
      </c>
      <c r="AF78" s="9">
        <v>6</v>
      </c>
      <c r="AG78" s="9">
        <v>45.7</v>
      </c>
      <c r="AH78" s="9">
        <v>36.1</v>
      </c>
      <c r="AI78" s="9">
        <v>0.85</v>
      </c>
      <c r="AJ78" s="9">
        <v>0.8</v>
      </c>
      <c r="AK78" s="9">
        <v>276.39999999999998</v>
      </c>
      <c r="AL78" s="9">
        <v>137.80000000000001</v>
      </c>
      <c r="AM78" s="9">
        <v>0.73</v>
      </c>
      <c r="AN78" s="9">
        <v>0.62</v>
      </c>
      <c r="AO78" s="9">
        <v>2.984</v>
      </c>
      <c r="AP78" s="9">
        <v>1.0669999999999999</v>
      </c>
      <c r="AQ78" s="9">
        <v>2.6509999999999998</v>
      </c>
      <c r="AR78" s="9">
        <v>1.0549999999999999</v>
      </c>
      <c r="AS78" s="9">
        <v>18.933655516758741</v>
      </c>
      <c r="AT78" s="9">
        <v>4.2531703347856956E-2</v>
      </c>
      <c r="AU78" s="9">
        <v>244.38634927467942</v>
      </c>
      <c r="AV78" s="9">
        <v>11.53610371760452</v>
      </c>
      <c r="AW78" s="9">
        <v>22.732553219196564</v>
      </c>
      <c r="AX78" s="9">
        <v>33.001390076293944</v>
      </c>
      <c r="AY78" s="9">
        <v>12.351221673549199</v>
      </c>
      <c r="AZ78" s="9">
        <v>1.4260947205373933E-2</v>
      </c>
      <c r="BA78" s="9">
        <v>246.18798674123482</v>
      </c>
      <c r="BB78" s="9">
        <v>4.2340247818098149</v>
      </c>
      <c r="BC78" s="9">
        <v>24.567800518771758</v>
      </c>
      <c r="BD78" s="9">
        <v>28.059416753293945</v>
      </c>
      <c r="BE78" s="9">
        <v>278.0498</v>
      </c>
      <c r="BF78" s="9">
        <v>23.352799999999998</v>
      </c>
      <c r="BG78" s="9">
        <v>73.365099999999998</v>
      </c>
      <c r="BH78" s="9">
        <v>0.83989999999999998</v>
      </c>
      <c r="BI78" s="9">
        <v>278.0498</v>
      </c>
      <c r="BJ78" s="9">
        <v>1.54</v>
      </c>
      <c r="BK78" s="9">
        <v>1104</v>
      </c>
      <c r="BL78" s="9">
        <v>80.3</v>
      </c>
      <c r="BM78" s="9">
        <v>6</v>
      </c>
      <c r="BN78" s="9">
        <v>20</v>
      </c>
      <c r="BO78" s="9">
        <v>34</v>
      </c>
      <c r="BP78" s="9">
        <v>34.200000000000003</v>
      </c>
      <c r="BQ78" s="9">
        <v>0.9</v>
      </c>
      <c r="BR78" s="9">
        <v>0.9</v>
      </c>
      <c r="BS78" s="9">
        <v>349.00087837415651</v>
      </c>
      <c r="BT78" s="9">
        <v>243.07664669081117</v>
      </c>
      <c r="BU78" s="9">
        <v>0.73</v>
      </c>
      <c r="BV78" s="9">
        <v>0.68</v>
      </c>
      <c r="BW78" s="9">
        <v>17.693999999999999</v>
      </c>
      <c r="BX78" s="9">
        <v>11.617000000000001</v>
      </c>
      <c r="BY78" s="9">
        <v>6.1120000000000001</v>
      </c>
      <c r="BZ78" s="9">
        <v>4.9509999999999996</v>
      </c>
      <c r="CA78" s="9">
        <v>28.259242857845891</v>
      </c>
      <c r="CB78" s="9">
        <v>4.3185623599268613E-2</v>
      </c>
      <c r="CC78" s="9">
        <v>258.44424770014746</v>
      </c>
      <c r="CD78" s="9">
        <v>12.894828748230548</v>
      </c>
      <c r="CE78" s="9">
        <v>24.998870113256267</v>
      </c>
      <c r="CF78" s="9">
        <v>33.752816753293942</v>
      </c>
      <c r="CG78" s="9">
        <v>11.398688740986783</v>
      </c>
      <c r="CH78" s="9">
        <v>2.4875057667629392E-2</v>
      </c>
      <c r="CI78" s="9">
        <v>281.26848157465082</v>
      </c>
      <c r="CJ78" s="9">
        <v>7.1890830835975779</v>
      </c>
      <c r="CK78" s="9">
        <v>24.080858529591993</v>
      </c>
      <c r="CL78" s="9">
        <v>32.02456682958789</v>
      </c>
      <c r="CM78" s="9">
        <v>1210.7302999999999</v>
      </c>
      <c r="CN78" s="9">
        <v>143.346</v>
      </c>
      <c r="CO78" s="9">
        <v>450.3347</v>
      </c>
      <c r="CP78" s="9">
        <v>1.1839999999999999</v>
      </c>
      <c r="CQ78" s="9">
        <v>1210.7302999999999</v>
      </c>
      <c r="CR78" s="9">
        <v>13.329000000000001</v>
      </c>
      <c r="CS78" s="9">
        <v>3985</v>
      </c>
      <c r="CT78" s="9">
        <v>17.2</v>
      </c>
      <c r="CU78" s="9">
        <v>0.9</v>
      </c>
      <c r="CV78" s="9">
        <v>306.75466080814965</v>
      </c>
      <c r="CW78" s="9">
        <v>0.83</v>
      </c>
      <c r="CX78" s="9">
        <v>17.554964412939125</v>
      </c>
      <c r="CY78" s="9">
        <v>0.32652532117768979</v>
      </c>
      <c r="CZ78" s="9">
        <v>328.06707721140953</v>
      </c>
      <c r="DA78" s="9">
        <v>10.488115649835658</v>
      </c>
      <c r="DB78" s="9">
        <v>3.2132227963100637</v>
      </c>
      <c r="DC78" s="9">
        <v>37.81915283203125</v>
      </c>
      <c r="DD78" s="9">
        <v>73</v>
      </c>
      <c r="DE78" s="9">
        <v>78</v>
      </c>
      <c r="DF78" s="9">
        <v>107</v>
      </c>
      <c r="DG78" s="9">
        <v>84</v>
      </c>
      <c r="DH78" s="9">
        <v>8</v>
      </c>
      <c r="DI78" s="9">
        <v>5</v>
      </c>
      <c r="DJ78" s="9">
        <v>36.450000000000003</v>
      </c>
      <c r="DK78" s="9">
        <v>25.12</v>
      </c>
      <c r="DL78" s="9">
        <v>10.42</v>
      </c>
      <c r="DM78" s="9">
        <v>14.92</v>
      </c>
      <c r="DN78" s="9">
        <f t="shared" si="43"/>
        <v>14.700000000000001</v>
      </c>
      <c r="DO78" s="9">
        <f t="shared" si="44"/>
        <v>0.41480891719745222</v>
      </c>
    </row>
    <row r="79" spans="1:119" x14ac:dyDescent="0.25">
      <c r="A79" s="12">
        <v>6</v>
      </c>
      <c r="B79" s="12">
        <v>11</v>
      </c>
      <c r="C79" s="14" t="s">
        <v>215</v>
      </c>
      <c r="D79" s="8" t="s">
        <v>223</v>
      </c>
      <c r="E79" s="8">
        <v>3</v>
      </c>
      <c r="F79" s="9">
        <v>43.6</v>
      </c>
      <c r="G79" s="9">
        <v>0</v>
      </c>
      <c r="H79" s="9">
        <v>3</v>
      </c>
      <c r="I79" s="9">
        <v>25.9</v>
      </c>
      <c r="J79" s="9">
        <v>0.5</v>
      </c>
      <c r="K79" s="9">
        <v>15.5</v>
      </c>
      <c r="L79" s="9">
        <v>0.2</v>
      </c>
      <c r="M79" s="9">
        <v>0.40300000000000002</v>
      </c>
      <c r="N79" s="9">
        <v>0.23</v>
      </c>
      <c r="O79" s="9">
        <v>0.121</v>
      </c>
      <c r="P79" s="9">
        <v>9.7000000000000003E-2</v>
      </c>
      <c r="Q79" s="9">
        <v>4.5799183204181801</v>
      </c>
      <c r="R79" s="9">
        <v>5.7234405587589091E-2</v>
      </c>
      <c r="S79" s="9">
        <v>204.09516064158549</v>
      </c>
      <c r="T79" s="9">
        <v>1.4118505604435296</v>
      </c>
      <c r="U79" s="9">
        <v>2.3576993274765834</v>
      </c>
      <c r="V79" s="9">
        <v>29.710050582885742</v>
      </c>
      <c r="W79" s="9">
        <v>313.00409999999999</v>
      </c>
      <c r="X79" s="9">
        <v>14.2621</v>
      </c>
      <c r="Y79" s="9">
        <v>44.805599999999998</v>
      </c>
      <c r="Z79" s="9">
        <v>0.3498</v>
      </c>
      <c r="AA79" s="9">
        <v>327.22609999999997</v>
      </c>
      <c r="AB79" s="9">
        <v>0.39200000000000002</v>
      </c>
      <c r="AC79" s="9">
        <f>AVERAGE(AC77:AC78)</f>
        <v>1698</v>
      </c>
      <c r="AD79" s="9">
        <f t="shared" ref="AD79:AF79" si="52">AVERAGE(AD77:AD78)</f>
        <v>62.400000000000006</v>
      </c>
      <c r="AE79" s="9">
        <f t="shared" si="52"/>
        <v>2.5</v>
      </c>
      <c r="AF79" s="9">
        <f t="shared" si="52"/>
        <v>7</v>
      </c>
      <c r="AG79" s="9">
        <v>61.3</v>
      </c>
      <c r="AH79" s="9">
        <v>40.1</v>
      </c>
      <c r="AI79" s="9">
        <v>0.9</v>
      </c>
      <c r="AJ79" s="9">
        <v>0.7</v>
      </c>
      <c r="AK79" s="9">
        <v>251.2</v>
      </c>
      <c r="AL79" s="9">
        <v>135.80000000000001</v>
      </c>
      <c r="AM79" s="9">
        <v>0.72</v>
      </c>
      <c r="AN79" s="9">
        <v>0.65</v>
      </c>
      <c r="AO79" s="9">
        <v>5.04</v>
      </c>
      <c r="AP79" s="9">
        <v>2.0569999999999999</v>
      </c>
      <c r="AQ79" s="9">
        <v>3.621</v>
      </c>
      <c r="AR79" s="9">
        <v>1.054</v>
      </c>
      <c r="AS79" s="9">
        <v>15.605608016226551</v>
      </c>
      <c r="AT79" s="9">
        <v>2.2784261025157491E-2</v>
      </c>
      <c r="AU79" s="9">
        <v>201.30131940822957</v>
      </c>
      <c r="AV79" s="9">
        <v>8.3931664205489884</v>
      </c>
      <c r="AW79" s="9">
        <v>31.036168180616016</v>
      </c>
      <c r="AX79" s="9">
        <v>32.697690582885741</v>
      </c>
      <c r="AY79" s="9">
        <v>13.519494995912851</v>
      </c>
      <c r="AZ79" s="9">
        <v>1.6127989808729815E-2</v>
      </c>
      <c r="BA79" s="9">
        <v>183.20861697891326</v>
      </c>
      <c r="BB79" s="9">
        <v>6.8127606500185056</v>
      </c>
      <c r="BC79" s="9">
        <v>34.935811513532748</v>
      </c>
      <c r="BD79" s="9">
        <v>27.755717259885742</v>
      </c>
      <c r="BE79" s="9">
        <v>266.84809999999999</v>
      </c>
      <c r="BF79" s="9">
        <v>43.792099999999998</v>
      </c>
      <c r="BG79" s="9">
        <v>137.57679999999999</v>
      </c>
      <c r="BH79" s="9">
        <v>1.6411</v>
      </c>
      <c r="BI79" s="9">
        <v>266.84809999999999</v>
      </c>
      <c r="BJ79" s="9">
        <v>5.6440000000000001</v>
      </c>
      <c r="BK79" s="9">
        <v>752</v>
      </c>
      <c r="BL79" s="9">
        <v>80.400000000000006</v>
      </c>
      <c r="BM79" s="9">
        <v>6</v>
      </c>
      <c r="BN79" s="9">
        <v>22</v>
      </c>
      <c r="BO79" s="9">
        <v>28.1</v>
      </c>
      <c r="BP79" s="9">
        <v>34</v>
      </c>
      <c r="BQ79" s="9">
        <v>0.9</v>
      </c>
      <c r="BR79" s="9">
        <v>0.9</v>
      </c>
      <c r="BS79" s="9">
        <v>345.94292873858831</v>
      </c>
      <c r="BT79" s="9">
        <v>244.8290197749759</v>
      </c>
      <c r="BU79" s="9">
        <v>0.72</v>
      </c>
      <c r="BV79" s="9">
        <v>0.65</v>
      </c>
      <c r="BW79" s="9">
        <v>18.280999999999999</v>
      </c>
      <c r="BX79" s="9">
        <v>12.984999999999999</v>
      </c>
      <c r="BY79" s="9">
        <v>7.125</v>
      </c>
      <c r="BZ79" s="9">
        <v>4.992</v>
      </c>
      <c r="CA79" s="9">
        <v>28.411366800002234</v>
      </c>
      <c r="CB79" s="9">
        <v>3.6586862263985304E-2</v>
      </c>
      <c r="CC79" s="9">
        <v>242.1609670610836</v>
      </c>
      <c r="CD79" s="9">
        <v>12.239586797506695</v>
      </c>
      <c r="CE79" s="9">
        <v>27.682235222931208</v>
      </c>
      <c r="CF79" s="9">
        <v>33.449117259885739</v>
      </c>
      <c r="CG79" s="9">
        <v>18.484480839403034</v>
      </c>
      <c r="CH79" s="9">
        <v>1.8256278105089802E-2</v>
      </c>
      <c r="CI79" s="9">
        <v>140.486976589287</v>
      </c>
      <c r="CJ79" s="9">
        <v>11.597270586747197</v>
      </c>
      <c r="CK79" s="9">
        <v>46.186796812667595</v>
      </c>
      <c r="CL79" s="9">
        <v>31.417167842771484</v>
      </c>
      <c r="CM79" s="9">
        <v>1210.3034666666665</v>
      </c>
      <c r="CN79" s="9">
        <v>179.88193333333334</v>
      </c>
      <c r="CO79" s="9">
        <v>565.11573333333331</v>
      </c>
      <c r="CP79" s="9">
        <v>1.4971333333333334</v>
      </c>
      <c r="CQ79" s="9">
        <v>1210.3034666666665</v>
      </c>
      <c r="CR79" s="9">
        <v>21.983333333333331</v>
      </c>
      <c r="CS79" s="9">
        <v>5124.333333333333</v>
      </c>
      <c r="CT79" s="9">
        <v>15.6</v>
      </c>
      <c r="CU79" s="9">
        <v>0.9</v>
      </c>
      <c r="CV79" s="9">
        <v>309.95978395785153</v>
      </c>
      <c r="CW79" s="9">
        <v>0.82</v>
      </c>
      <c r="CX79" s="9">
        <v>17.650232013103018</v>
      </c>
      <c r="CY79" s="9">
        <v>0.32611977693232536</v>
      </c>
      <c r="CZ79" s="9">
        <v>327.44553154947664</v>
      </c>
      <c r="DA79" s="9">
        <v>10.481121489162968</v>
      </c>
      <c r="DB79" s="9">
        <v>3.2147708787429026</v>
      </c>
      <c r="DC79" s="9">
        <v>37.822891235351563</v>
      </c>
      <c r="DD79" s="9">
        <v>73</v>
      </c>
      <c r="DE79" s="9">
        <v>78</v>
      </c>
      <c r="DF79" s="9">
        <v>107</v>
      </c>
      <c r="DG79" s="9">
        <v>94</v>
      </c>
      <c r="DH79" s="9">
        <v>10</v>
      </c>
      <c r="DI79" s="9">
        <v>6</v>
      </c>
      <c r="DJ79" s="9">
        <v>39.79</v>
      </c>
      <c r="DK79" s="9">
        <v>28.45</v>
      </c>
      <c r="DL79" s="9">
        <v>13.97</v>
      </c>
      <c r="DM79" s="9">
        <v>15.95</v>
      </c>
      <c r="DN79" s="9">
        <f t="shared" si="43"/>
        <v>14.479999999999999</v>
      </c>
      <c r="DO79" s="9">
        <f t="shared" si="44"/>
        <v>0.4910369068541301</v>
      </c>
    </row>
    <row r="80" spans="1:119" x14ac:dyDescent="0.25">
      <c r="A80" s="12">
        <v>4</v>
      </c>
      <c r="B80" s="12">
        <v>12</v>
      </c>
      <c r="C80" s="14" t="s">
        <v>216</v>
      </c>
      <c r="D80" s="8" t="s">
        <v>223</v>
      </c>
      <c r="E80" s="8">
        <v>1</v>
      </c>
      <c r="F80" s="9">
        <v>37.5</v>
      </c>
      <c r="G80" s="9">
        <v>0</v>
      </c>
      <c r="H80" s="9">
        <v>3</v>
      </c>
      <c r="I80" s="9">
        <v>31.5</v>
      </c>
      <c r="J80" s="9">
        <v>0.6</v>
      </c>
      <c r="K80" s="9">
        <v>19.7</v>
      </c>
      <c r="L80" s="9">
        <v>0.15</v>
      </c>
      <c r="M80" s="9">
        <v>0.55000000000000004</v>
      </c>
      <c r="N80" s="9">
        <v>0.23</v>
      </c>
      <c r="O80" s="9">
        <v>0.187</v>
      </c>
      <c r="P80" s="9">
        <v>8.6999999999999994E-2</v>
      </c>
      <c r="Q80" s="9">
        <v>7.1393419606940478</v>
      </c>
      <c r="R80" s="9">
        <v>8.0553165848913227E-2</v>
      </c>
      <c r="S80" s="9">
        <v>189.4478022568463</v>
      </c>
      <c r="T80" s="9">
        <v>1.9542593787703753</v>
      </c>
      <c r="U80" s="9">
        <v>2.3299145906416552</v>
      </c>
      <c r="V80" s="9">
        <v>29.665559768676758</v>
      </c>
      <c r="W80" s="9">
        <v>407.7602</v>
      </c>
      <c r="X80" s="9">
        <v>15.8775</v>
      </c>
      <c r="Y80" s="9">
        <v>49.880499999999998</v>
      </c>
      <c r="Z80" s="9">
        <v>0.4153</v>
      </c>
      <c r="AA80" s="9">
        <v>382.2688</v>
      </c>
      <c r="AB80" s="9">
        <v>0.51800000000000002</v>
      </c>
      <c r="AC80" s="9">
        <v>2024</v>
      </c>
      <c r="AD80" s="9">
        <v>67</v>
      </c>
      <c r="AE80" s="9">
        <v>5</v>
      </c>
      <c r="AF80" s="9">
        <v>17</v>
      </c>
      <c r="AG80" s="9">
        <v>45.8</v>
      </c>
      <c r="AH80" s="9">
        <v>34.6</v>
      </c>
      <c r="AI80" s="9">
        <v>0.7</v>
      </c>
      <c r="AJ80" s="9">
        <v>0.6</v>
      </c>
      <c r="AK80" s="9">
        <v>405.8</v>
      </c>
      <c r="AL80" s="9">
        <v>189.7</v>
      </c>
      <c r="AM80" s="9">
        <v>0.71</v>
      </c>
      <c r="AN80" s="9">
        <v>0.63</v>
      </c>
      <c r="AO80" s="9">
        <v>10.42</v>
      </c>
      <c r="AP80" s="9">
        <v>3.7690000000000001</v>
      </c>
      <c r="AQ80" s="9">
        <v>12.31</v>
      </c>
      <c r="AR80" s="9">
        <v>3.5649999999999999</v>
      </c>
      <c r="AS80" s="9">
        <v>30.907882573036623</v>
      </c>
      <c r="AT80" s="9">
        <v>3.2408476000017283E-2</v>
      </c>
      <c r="AU80" s="9">
        <v>80.056047971398755</v>
      </c>
      <c r="AV80" s="9">
        <v>20.812364389491773</v>
      </c>
      <c r="AW80" s="9">
        <v>54.39489089740696</v>
      </c>
      <c r="AX80" s="9">
        <v>32.653199768676757</v>
      </c>
      <c r="AY80" s="9">
        <f>AVERAGE(AY81:AY82)</f>
        <v>12.442341633681238</v>
      </c>
      <c r="AZ80" s="9">
        <f t="shared" ref="AZ80:BC80" si="53">AVERAGE(AZ81:AZ82)</f>
        <v>7.2474063642367264E-3</v>
      </c>
      <c r="BA80" s="9">
        <f t="shared" si="53"/>
        <v>139.2863105463872</v>
      </c>
      <c r="BB80" s="9">
        <f t="shared" si="53"/>
        <v>4.5367435813265988</v>
      </c>
      <c r="BC80" s="9">
        <f t="shared" si="53"/>
        <v>44.358159187922972</v>
      </c>
      <c r="BD80" s="9">
        <v>27.711226445676758</v>
      </c>
      <c r="BE80" s="9">
        <f>AVERAGE(BE81:BE82)</f>
        <v>402.26925</v>
      </c>
      <c r="BF80" s="9">
        <f t="shared" ref="BF80:BJ80" si="54">AVERAGE(BF81:BF82)</f>
        <v>59.878</v>
      </c>
      <c r="BG80" s="9">
        <f t="shared" si="54"/>
        <v>188.11239999999998</v>
      </c>
      <c r="BH80" s="9">
        <f t="shared" si="54"/>
        <v>1.48445</v>
      </c>
      <c r="BI80" s="9">
        <f t="shared" si="54"/>
        <v>402.26925</v>
      </c>
      <c r="BJ80" s="9">
        <f t="shared" si="54"/>
        <v>7.01</v>
      </c>
      <c r="BK80" s="9">
        <v>2438</v>
      </c>
      <c r="BL80" s="9">
        <v>82.1</v>
      </c>
      <c r="BM80" s="9">
        <v>5</v>
      </c>
      <c r="BN80" s="9">
        <v>17</v>
      </c>
      <c r="BO80" s="9">
        <v>27.1</v>
      </c>
      <c r="BP80" s="9">
        <v>27.3</v>
      </c>
      <c r="BQ80" s="9">
        <v>0.8</v>
      </c>
      <c r="BR80" s="9">
        <v>0.9</v>
      </c>
      <c r="BS80" s="9">
        <v>317.91672043974671</v>
      </c>
      <c r="BT80" s="9">
        <v>243.07664669081117</v>
      </c>
      <c r="BU80" s="9">
        <v>0.8</v>
      </c>
      <c r="BV80" s="9">
        <v>0.63</v>
      </c>
      <c r="BW80" s="9">
        <v>19.640999999999998</v>
      </c>
      <c r="BX80" s="9">
        <v>12.765000000000001</v>
      </c>
      <c r="BY80" s="9">
        <v>8.9909999999999997</v>
      </c>
      <c r="BZ80" s="9">
        <v>5.617</v>
      </c>
      <c r="CA80" s="9">
        <f>AVERAGE(CA81:CA82)</f>
        <v>21.085965710778211</v>
      </c>
      <c r="CB80" s="9">
        <f t="shared" ref="CB80:CF80" si="55">AVERAGE(CB81:CB82)</f>
        <v>4.008228125874775E-2</v>
      </c>
      <c r="CC80" s="9">
        <f t="shared" si="55"/>
        <v>275.30593158888138</v>
      </c>
      <c r="CD80" s="9">
        <f t="shared" si="55"/>
        <v>11.291409508224636</v>
      </c>
      <c r="CE80" s="9">
        <f t="shared" si="55"/>
        <v>23.603941894554445</v>
      </c>
      <c r="CF80" s="9">
        <f t="shared" si="55"/>
        <v>33.422792034055661</v>
      </c>
      <c r="CG80" s="9">
        <v>20.718504357949257</v>
      </c>
      <c r="CH80" s="9">
        <v>4.1203985338435764E-2</v>
      </c>
      <c r="CI80" s="9">
        <v>289.33871021280356</v>
      </c>
      <c r="CJ80" s="9">
        <v>10.391015210989432</v>
      </c>
      <c r="CK80" s="9">
        <v>21.381258797848595</v>
      </c>
      <c r="CL80" s="9">
        <v>31.328186214353515</v>
      </c>
      <c r="CM80" s="9">
        <f>AVERAGE(CM81:CM82)</f>
        <v>1538.34</v>
      </c>
      <c r="CN80" s="9">
        <v>135.53729999999999</v>
      </c>
      <c r="CO80" s="9">
        <v>425.80290000000002</v>
      </c>
      <c r="CP80" s="9">
        <v>1.3656999999999999</v>
      </c>
      <c r="CQ80" s="9">
        <f>AVERAGE(CQ81:CQ82)</f>
        <v>1538.34</v>
      </c>
      <c r="CR80" s="9">
        <v>14.538</v>
      </c>
      <c r="CS80" s="9">
        <v>3635</v>
      </c>
      <c r="CT80" s="9">
        <v>20.100000000000001</v>
      </c>
      <c r="CU80" s="9">
        <v>0.9</v>
      </c>
      <c r="CV80" s="9">
        <v>322.65359817659578</v>
      </c>
      <c r="CW80" s="9">
        <v>0.82</v>
      </c>
      <c r="CX80" s="9">
        <v>17.428741859191984</v>
      </c>
      <c r="CY80" s="9">
        <v>0.32260070654982431</v>
      </c>
      <c r="CZ80" s="9">
        <v>327.53432613213937</v>
      </c>
      <c r="DA80" s="9">
        <v>10.423053887262892</v>
      </c>
      <c r="DB80" s="9">
        <v>3.2292305852652157</v>
      </c>
      <c r="DC80" s="9">
        <v>37.859096527099609</v>
      </c>
      <c r="DD80" s="9">
        <v>83</v>
      </c>
      <c r="DE80" s="9">
        <v>87</v>
      </c>
      <c r="DF80" s="9">
        <v>118</v>
      </c>
      <c r="DG80" s="9">
        <v>90</v>
      </c>
      <c r="DH80" s="9">
        <v>5</v>
      </c>
      <c r="DI80" s="9">
        <v>3</v>
      </c>
      <c r="DJ80" s="9">
        <v>33.43</v>
      </c>
      <c r="DK80" s="9">
        <v>18.97</v>
      </c>
      <c r="DL80" s="9">
        <v>7.74</v>
      </c>
      <c r="DM80" s="9">
        <v>13.97</v>
      </c>
      <c r="DN80" s="9">
        <f t="shared" si="43"/>
        <v>11.229999999999999</v>
      </c>
      <c r="DO80" s="9">
        <f t="shared" si="44"/>
        <v>0.40801265155508704</v>
      </c>
    </row>
    <row r="81" spans="1:119" x14ac:dyDescent="0.25">
      <c r="A81" s="12">
        <v>5</v>
      </c>
      <c r="B81" s="12">
        <v>12</v>
      </c>
      <c r="C81" s="14" t="s">
        <v>216</v>
      </c>
      <c r="D81" s="8" t="s">
        <v>223</v>
      </c>
      <c r="E81" s="8">
        <v>2</v>
      </c>
      <c r="F81" s="9">
        <v>39.6</v>
      </c>
      <c r="G81" s="9">
        <v>0</v>
      </c>
      <c r="H81" s="9">
        <v>3</v>
      </c>
      <c r="I81" s="9">
        <v>30.9</v>
      </c>
      <c r="J81" s="9">
        <v>0.7</v>
      </c>
      <c r="K81" s="9">
        <v>18.2</v>
      </c>
      <c r="L81" s="9">
        <v>0.1</v>
      </c>
      <c r="M81" s="9">
        <v>0.53999999999999992</v>
      </c>
      <c r="N81" s="9">
        <v>0.25</v>
      </c>
      <c r="O81" s="9">
        <v>0.19800000000000001</v>
      </c>
      <c r="P81" s="9">
        <v>9.8000000000000004E-2</v>
      </c>
      <c r="Q81" s="9">
        <v>7.6582920385689048</v>
      </c>
      <c r="R81" s="9">
        <v>7.8801253859167988E-2</v>
      </c>
      <c r="S81" s="9">
        <v>175.61703564955718</v>
      </c>
      <c r="T81" s="9">
        <v>1.9068730922850188</v>
      </c>
      <c r="U81" s="9">
        <v>2.3231105851086626</v>
      </c>
      <c r="V81" s="9">
        <v>29.649682998657227</v>
      </c>
      <c r="W81" s="9">
        <v>382.2688</v>
      </c>
      <c r="X81" s="9">
        <v>19.121200000000002</v>
      </c>
      <c r="Y81" s="9">
        <v>56.234400000000001</v>
      </c>
      <c r="Z81" s="9">
        <v>0.47810000000000002</v>
      </c>
      <c r="AA81" s="9">
        <v>399.96140000000003</v>
      </c>
      <c r="AB81" s="9">
        <v>0.54400000000000004</v>
      </c>
      <c r="AC81" s="9">
        <v>1967</v>
      </c>
      <c r="AD81" s="9">
        <v>58.7</v>
      </c>
      <c r="AE81" s="9">
        <v>3</v>
      </c>
      <c r="AF81" s="9">
        <v>14</v>
      </c>
      <c r="AG81" s="9">
        <v>39.1</v>
      </c>
      <c r="AH81" s="9">
        <v>24.4</v>
      </c>
      <c r="AI81" s="9">
        <v>0.6</v>
      </c>
      <c r="AJ81" s="9">
        <v>0.4</v>
      </c>
      <c r="AK81" s="9">
        <v>414.2</v>
      </c>
      <c r="AL81" s="9">
        <v>171.9</v>
      </c>
      <c r="AM81" s="9">
        <v>0.76</v>
      </c>
      <c r="AN81" s="9">
        <v>0.64</v>
      </c>
      <c r="AO81" s="9">
        <v>7.31</v>
      </c>
      <c r="AP81" s="9">
        <v>2.512</v>
      </c>
      <c r="AQ81" s="9">
        <v>13.156000000000001</v>
      </c>
      <c r="AR81" s="9">
        <v>4.8120000000000003</v>
      </c>
      <c r="AS81" s="9">
        <v>28.921471323312108</v>
      </c>
      <c r="AT81" s="9">
        <v>4.6339988557292142E-2</v>
      </c>
      <c r="AU81" s="9">
        <v>135.58961968315137</v>
      </c>
      <c r="AV81" s="9">
        <v>19.719393723166508</v>
      </c>
      <c r="AW81" s="9">
        <v>43.424222045334616</v>
      </c>
      <c r="AX81" s="9">
        <v>32.637322998657226</v>
      </c>
      <c r="AY81" s="9">
        <v>12.691557904323815</v>
      </c>
      <c r="AZ81" s="9">
        <v>7.0108700024317881E-3</v>
      </c>
      <c r="BA81" s="9">
        <v>51.525069672884285</v>
      </c>
      <c r="BB81" s="9">
        <v>6.5739379961264293</v>
      </c>
      <c r="BC81" s="9">
        <v>61.496325278312653</v>
      </c>
      <c r="BD81" s="9">
        <v>27.695349675657226</v>
      </c>
      <c r="BE81" s="9">
        <v>373.04469999999998</v>
      </c>
      <c r="BF81" s="9">
        <v>53.294499999999999</v>
      </c>
      <c r="BG81" s="9">
        <v>167.4297</v>
      </c>
      <c r="BH81" s="9">
        <v>1.4286000000000001</v>
      </c>
      <c r="BI81" s="9">
        <v>373.04469999999998</v>
      </c>
      <c r="BJ81" s="9">
        <v>5.98</v>
      </c>
      <c r="BK81" s="9">
        <v>1612</v>
      </c>
      <c r="BL81" s="9">
        <v>73.2</v>
      </c>
      <c r="BM81" s="9">
        <v>4</v>
      </c>
      <c r="BN81" s="9">
        <v>15</v>
      </c>
      <c r="BO81" s="9">
        <v>19.8</v>
      </c>
      <c r="BP81" s="9">
        <v>22.7</v>
      </c>
      <c r="BQ81" s="9">
        <v>0.7</v>
      </c>
      <c r="BR81" s="9">
        <v>0.9</v>
      </c>
      <c r="BS81" s="9">
        <v>313.15203151956922</v>
      </c>
      <c r="BT81" s="9">
        <v>246.57672602680049</v>
      </c>
      <c r="BU81" s="9">
        <v>0.81</v>
      </c>
      <c r="BV81" s="9">
        <v>0.64</v>
      </c>
      <c r="BW81" s="9">
        <v>18.186</v>
      </c>
      <c r="BX81" s="9">
        <v>12.984999999999999</v>
      </c>
      <c r="BY81" s="9">
        <v>6.2249999999999996</v>
      </c>
      <c r="BZ81" s="9">
        <v>5.992</v>
      </c>
      <c r="CA81" s="9">
        <v>19.52275218072851</v>
      </c>
      <c r="CB81" s="9">
        <v>4.3735688811116349E-2</v>
      </c>
      <c r="CC81" s="9">
        <v>278.37559635493324</v>
      </c>
      <c r="CD81" s="9">
        <v>12.173523494035773</v>
      </c>
      <c r="CE81" s="9">
        <v>23.328145615115552</v>
      </c>
      <c r="CF81" s="9">
        <v>33.388749675657223</v>
      </c>
      <c r="CG81" s="9">
        <v>20.898162146455576</v>
      </c>
      <c r="CH81" s="9">
        <v>3.7146481531434662E-2</v>
      </c>
      <c r="CI81" s="9">
        <v>274.41290669100846</v>
      </c>
      <c r="CJ81" s="9">
        <v>10.514248577263176</v>
      </c>
      <c r="CK81" s="9">
        <v>23.654916027670584</v>
      </c>
      <c r="CL81" s="9">
        <v>31.432602107908203</v>
      </c>
      <c r="CM81" s="9">
        <v>1720.3000999999999</v>
      </c>
      <c r="CN81" s="9">
        <v>147.20509999999999</v>
      </c>
      <c r="CO81" s="9">
        <v>462.45859999999999</v>
      </c>
      <c r="CP81" s="9">
        <v>0.85570000000000002</v>
      </c>
      <c r="CQ81" s="9">
        <v>1720.3000999999999</v>
      </c>
      <c r="CR81" s="9">
        <v>98.893000000000001</v>
      </c>
      <c r="CS81" s="9">
        <v>6168</v>
      </c>
      <c r="CT81" s="9">
        <v>20.8</v>
      </c>
      <c r="CU81" s="9">
        <v>0.9</v>
      </c>
      <c r="CV81" s="9">
        <v>336.70380810358051</v>
      </c>
      <c r="CW81" s="9">
        <v>0.82</v>
      </c>
      <c r="CX81" s="9">
        <v>17.381467158417575</v>
      </c>
      <c r="CY81" s="9">
        <v>0.32253933368030135</v>
      </c>
      <c r="CZ81" s="9">
        <v>327.76902484699991</v>
      </c>
      <c r="DA81" s="9">
        <v>10.422506676213887</v>
      </c>
      <c r="DB81" s="9">
        <v>3.2296238906838686</v>
      </c>
      <c r="DC81" s="9">
        <v>37.859752655029297</v>
      </c>
      <c r="DD81" s="9">
        <v>83</v>
      </c>
      <c r="DE81" s="9">
        <v>87</v>
      </c>
      <c r="DF81" s="9">
        <v>118</v>
      </c>
      <c r="DG81" s="9">
        <v>88</v>
      </c>
      <c r="DH81" s="9">
        <v>5</v>
      </c>
      <c r="DI81" s="9">
        <v>3</v>
      </c>
      <c r="DJ81" s="9">
        <v>32.159999999999997</v>
      </c>
      <c r="DK81" s="9">
        <v>19.05</v>
      </c>
      <c r="DL81" s="9">
        <v>7.52</v>
      </c>
      <c r="DM81" s="9">
        <v>14.632</v>
      </c>
      <c r="DN81" s="9">
        <f t="shared" si="43"/>
        <v>11.530000000000001</v>
      </c>
      <c r="DO81" s="9">
        <f t="shared" si="44"/>
        <v>0.39475065616797894</v>
      </c>
    </row>
    <row r="82" spans="1:119" x14ac:dyDescent="0.25">
      <c r="A82" s="12">
        <v>6</v>
      </c>
      <c r="B82" s="12">
        <v>12</v>
      </c>
      <c r="C82" s="14" t="s">
        <v>216</v>
      </c>
      <c r="D82" s="8" t="s">
        <v>223</v>
      </c>
      <c r="E82" s="8">
        <v>3</v>
      </c>
      <c r="F82" s="9">
        <v>39.799999999999997</v>
      </c>
      <c r="G82" s="9">
        <v>0</v>
      </c>
      <c r="H82" s="9">
        <v>3</v>
      </c>
      <c r="I82" s="9">
        <v>31.8</v>
      </c>
      <c r="J82" s="9">
        <v>0.6</v>
      </c>
      <c r="K82" s="9">
        <v>17.399999999999999</v>
      </c>
      <c r="L82" s="9">
        <v>0.2</v>
      </c>
      <c r="M82" s="9">
        <v>0.51400000000000001</v>
      </c>
      <c r="N82" s="9">
        <v>0.25</v>
      </c>
      <c r="O82" s="9">
        <v>0.17799999999999999</v>
      </c>
      <c r="P82" s="9">
        <v>7.9000000000000001E-2</v>
      </c>
      <c r="Q82" s="9">
        <v>6.2147075511641354</v>
      </c>
      <c r="R82" s="9">
        <v>5.8207889347469503E-2</v>
      </c>
      <c r="S82" s="9">
        <v>161.64486238506223</v>
      </c>
      <c r="T82" s="9">
        <v>1.4363022584011267</v>
      </c>
      <c r="U82" s="9">
        <v>2.3588391357781227</v>
      </c>
      <c r="V82" s="9">
        <v>29.717767715454102</v>
      </c>
      <c r="W82" s="9">
        <v>399.96140000000003</v>
      </c>
      <c r="X82" s="9">
        <v>14.171900000000001</v>
      </c>
      <c r="Y82" s="9">
        <v>44.522300000000001</v>
      </c>
      <c r="Z82" s="9">
        <v>0.43309999999999998</v>
      </c>
      <c r="AA82" s="9">
        <v>407.7602</v>
      </c>
      <c r="AB82" s="9">
        <v>0.48199999999999998</v>
      </c>
      <c r="AC82" s="9">
        <v>1617</v>
      </c>
      <c r="AD82" s="9">
        <v>70.5</v>
      </c>
      <c r="AE82" s="9">
        <v>3</v>
      </c>
      <c r="AF82" s="9">
        <v>12</v>
      </c>
      <c r="AG82" s="9">
        <v>48.3</v>
      </c>
      <c r="AH82" s="9">
        <v>36.1</v>
      </c>
      <c r="AI82" s="9">
        <v>0.7</v>
      </c>
      <c r="AJ82" s="9">
        <v>0.5</v>
      </c>
      <c r="AK82" s="9">
        <v>450.8</v>
      </c>
      <c r="AL82" s="9">
        <v>183.4</v>
      </c>
      <c r="AM82" s="9">
        <v>0.79</v>
      </c>
      <c r="AN82" s="9">
        <v>0.65</v>
      </c>
      <c r="AO82" s="9">
        <v>7.5209999999999999</v>
      </c>
      <c r="AP82" s="9">
        <v>2.0110000000000001</v>
      </c>
      <c r="AQ82" s="9">
        <v>12.78</v>
      </c>
      <c r="AR82" s="9">
        <v>3.415</v>
      </c>
      <c r="AS82" s="9">
        <v>26.159051705507558</v>
      </c>
      <c r="AT82" s="9">
        <v>4.2537906478320606E-2</v>
      </c>
      <c r="AU82" s="9">
        <v>179.90612885935425</v>
      </c>
      <c r="AV82" s="9">
        <v>15.301507340268733</v>
      </c>
      <c r="AW82" s="9">
        <v>34.439528875010055</v>
      </c>
      <c r="AX82" s="9">
        <v>32.705407715454101</v>
      </c>
      <c r="AY82" s="9">
        <v>12.193125363038661</v>
      </c>
      <c r="AZ82" s="9">
        <v>7.4839427260416647E-3</v>
      </c>
      <c r="BA82" s="9">
        <v>227.04755141989011</v>
      </c>
      <c r="BB82" s="9">
        <v>2.499549166526768</v>
      </c>
      <c r="BC82" s="9">
        <v>27.21999309753329</v>
      </c>
      <c r="BD82" s="9">
        <v>27.763434392454101</v>
      </c>
      <c r="BE82" s="9">
        <v>431.49380000000002</v>
      </c>
      <c r="BF82" s="9">
        <v>66.461500000000001</v>
      </c>
      <c r="BG82" s="9">
        <v>208.79509999999999</v>
      </c>
      <c r="BH82" s="9">
        <v>1.5403</v>
      </c>
      <c r="BI82" s="9">
        <v>431.49380000000002</v>
      </c>
      <c r="BJ82" s="9">
        <v>8.0399999999999991</v>
      </c>
      <c r="BK82" s="9">
        <v>1474</v>
      </c>
      <c r="BL82" s="9">
        <v>79.3</v>
      </c>
      <c r="BM82" s="9">
        <v>4</v>
      </c>
      <c r="BN82" s="9">
        <v>15</v>
      </c>
      <c r="BO82" s="9">
        <v>22.8</v>
      </c>
      <c r="BP82" s="9">
        <v>27</v>
      </c>
      <c r="BQ82" s="9">
        <v>0.7</v>
      </c>
      <c r="BR82" s="9">
        <v>0.8</v>
      </c>
      <c r="BS82" s="9">
        <v>317.91672043974671</v>
      </c>
      <c r="BT82" s="9">
        <v>248.31981629108327</v>
      </c>
      <c r="BU82" s="9">
        <v>0.82</v>
      </c>
      <c r="BV82" s="9">
        <v>0.67</v>
      </c>
      <c r="BW82" s="9">
        <v>19.337</v>
      </c>
      <c r="BX82" s="9">
        <v>14.612</v>
      </c>
      <c r="BY82" s="9">
        <v>7.9859999999999998</v>
      </c>
      <c r="BZ82" s="9">
        <v>5.0119999999999996</v>
      </c>
      <c r="CA82" s="9">
        <v>22.649179240827916</v>
      </c>
      <c r="CB82" s="9">
        <v>3.642887370637915E-2</v>
      </c>
      <c r="CC82" s="9">
        <v>272.23626682282952</v>
      </c>
      <c r="CD82" s="9">
        <v>10.409295522413498</v>
      </c>
      <c r="CE82" s="9">
        <v>23.879738173993339</v>
      </c>
      <c r="CF82" s="9">
        <v>33.456834392454098</v>
      </c>
      <c r="CG82" s="11">
        <f>AVERAGE(CG80:CG81)</f>
        <v>20.808333252202416</v>
      </c>
      <c r="CH82" s="11">
        <f t="shared" ref="CH82:CL82" si="56">AVERAGE(CH80:CH81)</f>
        <v>3.9175233434935217E-2</v>
      </c>
      <c r="CI82" s="11">
        <f t="shared" si="56"/>
        <v>281.87580845190598</v>
      </c>
      <c r="CJ82" s="11">
        <f t="shared" si="56"/>
        <v>10.452631894126304</v>
      </c>
      <c r="CK82" s="11">
        <f t="shared" si="56"/>
        <v>22.518087412759591</v>
      </c>
      <c r="CL82" s="11">
        <f t="shared" si="56"/>
        <v>31.380394161130859</v>
      </c>
      <c r="CM82" s="9">
        <v>1356.3798999999999</v>
      </c>
      <c r="CN82" s="9">
        <v>141.37119999999999</v>
      </c>
      <c r="CO82" s="9">
        <v>444.13075000000003</v>
      </c>
      <c r="CP82" s="9">
        <v>1.1107</v>
      </c>
      <c r="CQ82" s="9">
        <v>1356.3798999999999</v>
      </c>
      <c r="CR82" s="9">
        <v>12.2155</v>
      </c>
      <c r="CS82" s="9">
        <v>4901.5</v>
      </c>
      <c r="CT82" s="9">
        <v>14.6</v>
      </c>
      <c r="CU82" s="9">
        <v>0.8</v>
      </c>
      <c r="CV82" s="9">
        <v>335.15422333859686</v>
      </c>
      <c r="CW82" s="9">
        <v>0.82</v>
      </c>
      <c r="CX82" s="9">
        <v>17.34648561072229</v>
      </c>
      <c r="CY82" s="9">
        <v>0.32225480846023513</v>
      </c>
      <c r="CZ82" s="9">
        <v>327.87812384617507</v>
      </c>
      <c r="DA82" s="9">
        <v>10.416450244014676</v>
      </c>
      <c r="DB82" s="9">
        <v>3.2303990715539763</v>
      </c>
      <c r="DC82" s="9">
        <v>37.861042022705078</v>
      </c>
      <c r="DD82" s="9">
        <v>83</v>
      </c>
      <c r="DE82" s="9">
        <v>87</v>
      </c>
      <c r="DF82" s="9">
        <v>118</v>
      </c>
      <c r="DG82" s="9">
        <v>97</v>
      </c>
      <c r="DH82" s="9">
        <v>5</v>
      </c>
      <c r="DI82" s="9">
        <v>3</v>
      </c>
      <c r="DJ82" s="9">
        <v>32.450000000000003</v>
      </c>
      <c r="DK82" s="9">
        <v>19.95</v>
      </c>
      <c r="DL82" s="9">
        <v>7.98</v>
      </c>
      <c r="DM82" s="9">
        <v>14.27</v>
      </c>
      <c r="DN82" s="9">
        <f t="shared" si="43"/>
        <v>11.969999999999999</v>
      </c>
      <c r="DO82" s="9">
        <f t="shared" si="44"/>
        <v>0.4</v>
      </c>
    </row>
    <row r="83" spans="1:119" x14ac:dyDescent="0.25">
      <c r="A83" s="12">
        <v>4</v>
      </c>
      <c r="B83" s="12">
        <v>13</v>
      </c>
      <c r="C83" s="14" t="s">
        <v>217</v>
      </c>
      <c r="D83" s="8" t="s">
        <v>223</v>
      </c>
      <c r="E83" s="8">
        <v>1</v>
      </c>
      <c r="F83" s="9">
        <v>47.8</v>
      </c>
      <c r="G83" s="9">
        <v>0</v>
      </c>
      <c r="H83" s="9">
        <v>3</v>
      </c>
      <c r="I83" s="9">
        <v>28.7</v>
      </c>
      <c r="J83" s="9">
        <v>0.7</v>
      </c>
      <c r="K83" s="9">
        <v>16.5</v>
      </c>
      <c r="L83" s="9">
        <v>0.1</v>
      </c>
      <c r="M83" s="9">
        <v>0.379</v>
      </c>
      <c r="N83" s="9">
        <v>0.215</v>
      </c>
      <c r="O83" s="9">
        <v>0.125</v>
      </c>
      <c r="P83" s="9">
        <v>7.8E-2</v>
      </c>
      <c r="Q83" s="9">
        <v>8.1613833611233932</v>
      </c>
      <c r="R83" s="9">
        <v>5.6874110763450135E-2</v>
      </c>
      <c r="S83" s="9">
        <v>121.53313804416729</v>
      </c>
      <c r="T83" s="9">
        <v>1.2964071128662624</v>
      </c>
      <c r="U83" s="9">
        <v>2.1855387810564935</v>
      </c>
      <c r="V83" s="9">
        <v>27.981189727783203</v>
      </c>
      <c r="W83" s="9">
        <v>327.22609999999997</v>
      </c>
      <c r="X83" s="9">
        <v>16.443899999999999</v>
      </c>
      <c r="Y83" s="9">
        <v>51.660200000000003</v>
      </c>
      <c r="Z83" s="9">
        <v>0.47270000000000001</v>
      </c>
      <c r="AA83" s="9">
        <v>347.8707</v>
      </c>
      <c r="AB83" s="9">
        <v>0.61</v>
      </c>
      <c r="AC83" s="9">
        <v>1480</v>
      </c>
      <c r="AD83" s="9">
        <v>44.5</v>
      </c>
      <c r="AE83" s="9">
        <v>4</v>
      </c>
      <c r="AF83" s="9">
        <v>10</v>
      </c>
      <c r="AG83" s="9">
        <v>30.1</v>
      </c>
      <c r="AH83" s="9">
        <v>26.1</v>
      </c>
      <c r="AI83" s="9">
        <v>0.8</v>
      </c>
      <c r="AJ83" s="9">
        <v>0.6</v>
      </c>
      <c r="AK83" s="9">
        <v>395.7</v>
      </c>
      <c r="AL83" s="9">
        <v>234.7</v>
      </c>
      <c r="AM83" s="9">
        <v>0.7</v>
      </c>
      <c r="AN83" s="9">
        <v>0.59</v>
      </c>
      <c r="AO83" s="9">
        <v>6.3479999999999999</v>
      </c>
      <c r="AP83" s="9">
        <v>2.0870000000000002</v>
      </c>
      <c r="AQ83" s="9">
        <v>6.14</v>
      </c>
      <c r="AR83" s="9">
        <v>2.113</v>
      </c>
      <c r="AS83" s="9">
        <v>21.900448850628987</v>
      </c>
      <c r="AT83" s="9">
        <v>2.7277620646645285E-2</v>
      </c>
      <c r="AU83" s="9">
        <v>150.51628341592996</v>
      </c>
      <c r="AV83" s="9">
        <v>11.041339078760926</v>
      </c>
      <c r="AW83" s="9">
        <v>41.113322697176073</v>
      </c>
      <c r="AX83" s="9">
        <v>30.968829727783202</v>
      </c>
      <c r="AY83" s="11">
        <f>AVERAGE(AY84:AY85)</f>
        <v>12.23494887374097</v>
      </c>
      <c r="AZ83" s="11">
        <f t="shared" ref="AZ83:BC83" si="57">AVERAGE(AZ84:AZ85)</f>
        <v>4.9614583631780694E-3</v>
      </c>
      <c r="BA83" s="11">
        <f t="shared" si="57"/>
        <v>92.478701916364173</v>
      </c>
      <c r="BB83" s="11">
        <f t="shared" si="57"/>
        <v>3.2289010970146794</v>
      </c>
      <c r="BC83" s="11">
        <f t="shared" si="57"/>
        <v>53.723794881778169</v>
      </c>
      <c r="BD83" s="9">
        <v>26.026856404783203</v>
      </c>
      <c r="BE83" s="9">
        <v>378.71749999999997</v>
      </c>
      <c r="BF83" s="9">
        <v>47.962899999999998</v>
      </c>
      <c r="BG83" s="9">
        <v>150.6799</v>
      </c>
      <c r="BH83" s="9">
        <v>1.2665</v>
      </c>
      <c r="BI83" s="9">
        <v>378.71749999999997</v>
      </c>
      <c r="BJ83" s="9">
        <v>4.7709999999999999</v>
      </c>
      <c r="BK83" s="9">
        <v>1555</v>
      </c>
      <c r="BL83" s="9">
        <v>63</v>
      </c>
      <c r="BM83" s="9">
        <v>7</v>
      </c>
      <c r="BN83" s="9">
        <v>27</v>
      </c>
      <c r="BO83" s="9">
        <v>20.6</v>
      </c>
      <c r="BP83" s="9">
        <v>19</v>
      </c>
      <c r="BQ83" s="9">
        <v>0.8</v>
      </c>
      <c r="BR83" s="9">
        <v>0.7</v>
      </c>
      <c r="BS83" s="9">
        <v>237.79100293805442</v>
      </c>
      <c r="BT83" s="9">
        <v>223.47693733169802</v>
      </c>
      <c r="BU83" s="9">
        <v>0.79</v>
      </c>
      <c r="BV83" s="9">
        <v>0.67</v>
      </c>
      <c r="BW83" s="9">
        <v>25.725000000000001</v>
      </c>
      <c r="BX83" s="9">
        <v>19.875</v>
      </c>
      <c r="BY83" s="9">
        <v>10.951000000000001</v>
      </c>
      <c r="BZ83" s="9">
        <v>6.7850000000000001</v>
      </c>
      <c r="CA83" s="9">
        <v>32.482815828288118</v>
      </c>
      <c r="CB83" s="9">
        <v>7.1004540662269716E-2</v>
      </c>
      <c r="CC83" s="9">
        <v>291.29907506892141</v>
      </c>
      <c r="CD83" s="9">
        <v>15.774194113290354</v>
      </c>
      <c r="CE83" s="9">
        <v>19.154183797059968</v>
      </c>
      <c r="CF83" s="9">
        <v>31.720256404783207</v>
      </c>
      <c r="CG83" s="9">
        <v>24.889405723907903</v>
      </c>
      <c r="CH83" s="9">
        <v>6.200342538726232E-2</v>
      </c>
      <c r="CI83" s="9">
        <v>294.80277804694168</v>
      </c>
      <c r="CJ83" s="9">
        <v>14.415643560523838</v>
      </c>
      <c r="CK83" s="9">
        <v>19.928340756787215</v>
      </c>
      <c r="CL83" s="9">
        <v>27.959446132566406</v>
      </c>
      <c r="CM83" s="9">
        <v>838.47699999999998</v>
      </c>
      <c r="CN83" s="9">
        <v>205.9759</v>
      </c>
      <c r="CO83" s="9">
        <v>647.09230000000002</v>
      </c>
      <c r="CP83" s="9">
        <v>2.4565000000000001</v>
      </c>
      <c r="CQ83" s="9">
        <f>AVERAGE(CQ85:CQ86)</f>
        <v>790.73967500000003</v>
      </c>
      <c r="CR83" s="9">
        <v>39.74</v>
      </c>
      <c r="CS83" s="9">
        <v>4367</v>
      </c>
      <c r="CT83" s="9">
        <v>12.7</v>
      </c>
      <c r="CU83" s="9">
        <v>0.7</v>
      </c>
      <c r="CV83" s="9">
        <v>250.0583404469736</v>
      </c>
      <c r="CW83" s="9">
        <v>0.83</v>
      </c>
      <c r="CX83" s="9">
        <v>23.576107732022702</v>
      </c>
      <c r="CY83" s="9">
        <v>0.34567759705150247</v>
      </c>
      <c r="CZ83" s="9">
        <v>299.14520725843573</v>
      </c>
      <c r="DA83" s="9">
        <v>11.94762386645824</v>
      </c>
      <c r="DB83" s="9">
        <v>3.4638022645476894</v>
      </c>
      <c r="DC83" s="9">
        <v>38.721485137939453</v>
      </c>
      <c r="DD83" s="9">
        <v>80</v>
      </c>
      <c r="DE83" s="9">
        <v>84</v>
      </c>
      <c r="DF83" s="9">
        <v>118</v>
      </c>
      <c r="DG83" s="9">
        <v>69</v>
      </c>
      <c r="DH83" s="9">
        <v>5</v>
      </c>
      <c r="DI83" s="9">
        <v>4</v>
      </c>
      <c r="DJ83" s="9">
        <v>38.75</v>
      </c>
      <c r="DK83" s="9">
        <v>19.52</v>
      </c>
      <c r="DL83" s="9">
        <v>9.5500000000000007</v>
      </c>
      <c r="DM83" s="9">
        <v>14.32</v>
      </c>
      <c r="DN83" s="9">
        <f t="shared" si="43"/>
        <v>9.9699999999999989</v>
      </c>
      <c r="DO83" s="9">
        <f t="shared" si="44"/>
        <v>0.48924180327868855</v>
      </c>
    </row>
    <row r="84" spans="1:119" x14ac:dyDescent="0.25">
      <c r="A84" s="12">
        <v>5</v>
      </c>
      <c r="B84" s="12">
        <v>13</v>
      </c>
      <c r="C84" s="14" t="s">
        <v>217</v>
      </c>
      <c r="D84" s="8" t="s">
        <v>223</v>
      </c>
      <c r="E84" s="8">
        <v>2</v>
      </c>
      <c r="F84" s="9">
        <v>48.5</v>
      </c>
      <c r="G84" s="9">
        <v>0</v>
      </c>
      <c r="H84" s="9">
        <v>3</v>
      </c>
      <c r="I84" s="9">
        <v>29.1</v>
      </c>
      <c r="J84" s="9">
        <v>0.5</v>
      </c>
      <c r="K84" s="9">
        <v>17.899999999999999</v>
      </c>
      <c r="L84" s="9">
        <v>0.12</v>
      </c>
      <c r="M84" s="9">
        <v>0.36799999999999999</v>
      </c>
      <c r="N84" s="9">
        <v>0.19500000000000001</v>
      </c>
      <c r="O84" s="9">
        <v>0.11899999999999999</v>
      </c>
      <c r="P84" s="9">
        <v>7.5999999999999998E-2</v>
      </c>
      <c r="Q84" s="9">
        <v>8.4087695252303654</v>
      </c>
      <c r="R84" s="9">
        <v>5.7396590904683735E-2</v>
      </c>
      <c r="S84" s="9">
        <v>116.72528731314335</v>
      </c>
      <c r="T84" s="9">
        <v>1.3081753662401172</v>
      </c>
      <c r="U84" s="9">
        <v>2.1855331996331202</v>
      </c>
      <c r="V84" s="9">
        <v>27.980722427368164</v>
      </c>
      <c r="W84" s="9">
        <v>347.8707</v>
      </c>
      <c r="X84" s="9">
        <v>15.553900000000001</v>
      </c>
      <c r="Y84" s="9">
        <v>51.546300000000002</v>
      </c>
      <c r="Z84" s="9">
        <v>0.3639</v>
      </c>
      <c r="AA84" s="9">
        <v>314.79480000000001</v>
      </c>
      <c r="AB84" s="9">
        <v>0.54500000000000004</v>
      </c>
      <c r="AC84" s="9">
        <v>1417</v>
      </c>
      <c r="AD84" s="9">
        <v>39.4</v>
      </c>
      <c r="AE84" s="9">
        <v>4</v>
      </c>
      <c r="AF84" s="9">
        <v>13</v>
      </c>
      <c r="AG84" s="9">
        <v>25.3</v>
      </c>
      <c r="AH84" s="9">
        <v>20.3</v>
      </c>
      <c r="AI84" s="9">
        <v>0.8</v>
      </c>
      <c r="AJ84" s="9">
        <v>0.7</v>
      </c>
      <c r="AK84" s="9">
        <v>408.7</v>
      </c>
      <c r="AL84" s="9">
        <v>273.7</v>
      </c>
      <c r="AM84" s="9">
        <v>0.73</v>
      </c>
      <c r="AN84" s="9">
        <v>0.62</v>
      </c>
      <c r="AO84" s="9">
        <v>5.9820000000000002</v>
      </c>
      <c r="AP84" s="9">
        <v>2.1120000000000001</v>
      </c>
      <c r="AQ84" s="9">
        <v>4.21</v>
      </c>
      <c r="AR84" s="9">
        <v>1.1000000000000001</v>
      </c>
      <c r="AS84" s="9">
        <v>35.962776679686399</v>
      </c>
      <c r="AT84" s="9">
        <v>8.0019895758094262E-2</v>
      </c>
      <c r="AU84" s="9">
        <v>223.92593469664547</v>
      </c>
      <c r="AV84" s="9">
        <v>21.69991153353644</v>
      </c>
      <c r="AW84" s="9">
        <v>22.808028136223275</v>
      </c>
      <c r="AX84" s="9">
        <v>30.968362427368163</v>
      </c>
      <c r="AY84" s="9">
        <v>9.9843528984838272</v>
      </c>
      <c r="AZ84" s="9">
        <v>6.4952342155056107E-3</v>
      </c>
      <c r="BA84" s="9">
        <v>111.26762728262304</v>
      </c>
      <c r="BB84" s="9">
        <v>3.5289426440253222</v>
      </c>
      <c r="BC84" s="9">
        <v>50.528054585453802</v>
      </c>
      <c r="BD84" s="9">
        <v>26.026389104368164</v>
      </c>
      <c r="BE84" s="9">
        <v>243.35290000000001</v>
      </c>
      <c r="BF84" s="9">
        <v>19.908999999999999</v>
      </c>
      <c r="BG84" s="9">
        <v>62.545900000000003</v>
      </c>
      <c r="BH84" s="9">
        <v>0.81810000000000005</v>
      </c>
      <c r="BI84" s="9">
        <v>243.35290000000001</v>
      </c>
      <c r="BJ84" s="9">
        <v>1.2789999999999999</v>
      </c>
      <c r="BK84" s="9">
        <v>1633</v>
      </c>
      <c r="BL84" s="9">
        <v>66.900000000000006</v>
      </c>
      <c r="BM84" s="9">
        <v>10</v>
      </c>
      <c r="BN84" s="9">
        <v>39</v>
      </c>
      <c r="BO84" s="9">
        <v>18.3</v>
      </c>
      <c r="BP84" s="9">
        <v>22.3</v>
      </c>
      <c r="BQ84" s="9">
        <v>0.8</v>
      </c>
      <c r="BR84" s="9">
        <v>0.7</v>
      </c>
      <c r="BS84" s="9">
        <v>265.50736704822253</v>
      </c>
      <c r="BT84" s="9">
        <v>219.84604286850833</v>
      </c>
      <c r="BU84" s="9">
        <v>0.73</v>
      </c>
      <c r="BV84" s="9">
        <v>0.62</v>
      </c>
      <c r="BW84" s="9">
        <v>31.113</v>
      </c>
      <c r="BX84" s="9">
        <v>18.577999999999999</v>
      </c>
      <c r="BY84" s="9">
        <v>10.772</v>
      </c>
      <c r="BZ84" s="9">
        <v>7.0119999999999996</v>
      </c>
      <c r="CA84" s="9">
        <v>26.429293391315813</v>
      </c>
      <c r="CB84" s="9">
        <v>6.5174457827193985E-2</v>
      </c>
      <c r="CC84" s="9">
        <v>293.00774550760531</v>
      </c>
      <c r="CD84" s="9">
        <v>15.217448759290134</v>
      </c>
      <c r="CE84" s="9">
        <v>20.017972671789856</v>
      </c>
      <c r="CF84" s="9">
        <v>31.719789104368168</v>
      </c>
      <c r="CG84" s="9">
        <v>18.288683299328405</v>
      </c>
      <c r="CH84" s="9">
        <v>5.5613319394024599E-2</v>
      </c>
      <c r="CI84" s="9">
        <v>299.30522954277103</v>
      </c>
      <c r="CJ84" s="9">
        <v>13.245635464263199</v>
      </c>
      <c r="CK84" s="9">
        <v>20.357148199378607</v>
      </c>
      <c r="CL84" s="9">
        <v>27.958511531736328</v>
      </c>
      <c r="CM84" s="9">
        <v>588.85829999999999</v>
      </c>
      <c r="CN84" s="9">
        <v>138.65785</v>
      </c>
      <c r="CO84" s="9">
        <v>424.12060000000002</v>
      </c>
      <c r="CP84" s="9">
        <v>1.2115</v>
      </c>
      <c r="CQ84" s="9">
        <v>588.85829999999999</v>
      </c>
      <c r="CR84" s="9">
        <v>23.264000000000003</v>
      </c>
      <c r="CS84" s="9">
        <v>2057</v>
      </c>
      <c r="CT84" s="9">
        <v>13</v>
      </c>
      <c r="CU84" s="9">
        <v>0.9</v>
      </c>
      <c r="CV84" s="9">
        <v>265.50736704822253</v>
      </c>
      <c r="CW84" s="9">
        <v>0.82</v>
      </c>
      <c r="CX84" s="9">
        <v>23.445470797587305</v>
      </c>
      <c r="CY84" s="9">
        <v>0.34548535394000646</v>
      </c>
      <c r="CZ84" s="9">
        <v>299.74837318352212</v>
      </c>
      <c r="DA84" s="9">
        <v>11.945020542922469</v>
      </c>
      <c r="DB84" s="9">
        <v>3.4648217940651893</v>
      </c>
      <c r="DC84" s="9">
        <v>38.723701477050781</v>
      </c>
      <c r="DD84" s="9">
        <v>80</v>
      </c>
      <c r="DE84" s="9">
        <v>84</v>
      </c>
      <c r="DF84" s="9">
        <v>118</v>
      </c>
      <c r="DG84" s="9">
        <v>63</v>
      </c>
      <c r="DH84" s="9">
        <v>6</v>
      </c>
      <c r="DI84" s="9">
        <v>4</v>
      </c>
      <c r="DJ84" s="9">
        <v>38.76</v>
      </c>
      <c r="DK84" s="9">
        <v>19.350000000000001</v>
      </c>
      <c r="DL84" s="9">
        <v>9.32</v>
      </c>
      <c r="DM84" s="9">
        <v>13.97</v>
      </c>
      <c r="DN84" s="9">
        <f t="shared" si="43"/>
        <v>10.030000000000001</v>
      </c>
      <c r="DO84" s="9">
        <f t="shared" si="44"/>
        <v>0.48165374677002581</v>
      </c>
    </row>
    <row r="85" spans="1:119" x14ac:dyDescent="0.25">
      <c r="A85" s="12">
        <v>6</v>
      </c>
      <c r="B85" s="12">
        <v>13</v>
      </c>
      <c r="C85" s="14" t="s">
        <v>217</v>
      </c>
      <c r="D85" s="8" t="s">
        <v>223</v>
      </c>
      <c r="E85" s="8">
        <v>3</v>
      </c>
      <c r="F85" s="9">
        <v>48.3</v>
      </c>
      <c r="G85" s="9">
        <v>0</v>
      </c>
      <c r="H85" s="9">
        <v>3</v>
      </c>
      <c r="I85" s="9">
        <v>28.5</v>
      </c>
      <c r="J85" s="9">
        <v>0.55000000000000004</v>
      </c>
      <c r="K85" s="9">
        <v>16.3</v>
      </c>
      <c r="L85" s="9">
        <v>0.2</v>
      </c>
      <c r="M85" s="9">
        <v>0.372</v>
      </c>
      <c r="N85" s="9">
        <v>0.187</v>
      </c>
      <c r="O85" s="9">
        <v>0.121</v>
      </c>
      <c r="P85" s="9">
        <v>6.2E-2</v>
      </c>
      <c r="Q85" s="9">
        <v>8.0139093876068479</v>
      </c>
      <c r="R85" s="9">
        <v>5.8744264429564812E-2</v>
      </c>
      <c r="S85" s="9">
        <v>132.7605427441263</v>
      </c>
      <c r="T85" s="9">
        <v>1.3385270680194372</v>
      </c>
      <c r="U85" s="9">
        <v>2.1855239543143936</v>
      </c>
      <c r="V85" s="9">
        <v>27.980634689331055</v>
      </c>
      <c r="W85" s="9">
        <v>352.4907</v>
      </c>
      <c r="X85" s="9">
        <v>15.124599999999999</v>
      </c>
      <c r="Y85" s="9">
        <v>52.009799999999998</v>
      </c>
      <c r="Z85" s="9">
        <v>0.33160000000000001</v>
      </c>
      <c r="AA85" s="9">
        <v>352.4907</v>
      </c>
      <c r="AB85" s="9">
        <v>0.48599999999999999</v>
      </c>
      <c r="AC85" s="9">
        <v>1681</v>
      </c>
      <c r="AD85" s="9">
        <v>39</v>
      </c>
      <c r="AE85" s="9">
        <v>3</v>
      </c>
      <c r="AF85" s="9">
        <v>10</v>
      </c>
      <c r="AG85" s="9">
        <v>24.4</v>
      </c>
      <c r="AH85" s="9">
        <v>21</v>
      </c>
      <c r="AI85" s="9">
        <v>0.8</v>
      </c>
      <c r="AJ85" s="9">
        <v>0.6</v>
      </c>
      <c r="AK85" s="9">
        <v>351.7</v>
      </c>
      <c r="AL85" s="9">
        <v>255.6</v>
      </c>
      <c r="AM85" s="9">
        <v>0.75</v>
      </c>
      <c r="AN85" s="9">
        <v>0.61</v>
      </c>
      <c r="AO85" s="9">
        <v>5.7149999999999999</v>
      </c>
      <c r="AP85" s="9">
        <v>1.986</v>
      </c>
      <c r="AQ85" s="9">
        <v>6.3520000000000003</v>
      </c>
      <c r="AR85" s="9">
        <v>2.081</v>
      </c>
      <c r="AS85" s="9">
        <v>36.081201419026982</v>
      </c>
      <c r="AT85" s="9">
        <v>4.502669318121378E-2</v>
      </c>
      <c r="AU85" s="9">
        <v>93.575272600287278</v>
      </c>
      <c r="AV85" s="9">
        <v>23.679740462030299</v>
      </c>
      <c r="AW85" s="9">
        <v>51.353264960157979</v>
      </c>
      <c r="AX85" s="9">
        <v>30.968274689331054</v>
      </c>
      <c r="AY85" s="9">
        <v>14.485544848998114</v>
      </c>
      <c r="AZ85" s="9">
        <v>3.4276825108505277E-3</v>
      </c>
      <c r="BA85" s="9">
        <v>73.689776550105307</v>
      </c>
      <c r="BB85" s="9">
        <v>2.9288595500040362</v>
      </c>
      <c r="BC85" s="9">
        <v>56.919535178102535</v>
      </c>
      <c r="BD85" s="9">
        <v>26.026301366331055</v>
      </c>
      <c r="BE85" s="9">
        <v>341.0224</v>
      </c>
      <c r="BF85" s="9">
        <v>38.219700000000003</v>
      </c>
      <c r="BG85" s="9">
        <v>120.0707</v>
      </c>
      <c r="BH85" s="9">
        <v>1.1207</v>
      </c>
      <c r="BI85" s="9">
        <v>341.0224</v>
      </c>
      <c r="BJ85" s="9">
        <v>3.3639999999999999</v>
      </c>
      <c r="BK85" s="9">
        <v>1639</v>
      </c>
      <c r="BL85" s="9">
        <v>71.8</v>
      </c>
      <c r="BM85" s="9">
        <v>11</v>
      </c>
      <c r="BN85" s="9">
        <v>41</v>
      </c>
      <c r="BO85" s="9">
        <v>20.5</v>
      </c>
      <c r="BP85" s="9">
        <v>20.5</v>
      </c>
      <c r="BQ85" s="9">
        <v>0.9</v>
      </c>
      <c r="BR85" s="9">
        <v>0.7</v>
      </c>
      <c r="BS85" s="9">
        <v>272.26472672178915</v>
      </c>
      <c r="BT85" s="9">
        <v>216.19315819126524</v>
      </c>
      <c r="BU85" s="9">
        <v>0.75</v>
      </c>
      <c r="BV85" s="9">
        <v>0.61</v>
      </c>
      <c r="BW85" s="9">
        <v>30.614000000000001</v>
      </c>
      <c r="BX85" s="9">
        <v>19.071000000000002</v>
      </c>
      <c r="BY85" s="9">
        <v>11.512</v>
      </c>
      <c r="BZ85" s="9">
        <v>7.5119999999999996</v>
      </c>
      <c r="CA85" s="9">
        <v>32.468347666366988</v>
      </c>
      <c r="CB85" s="9">
        <v>7.0962123040916619E-2</v>
      </c>
      <c r="CC85" s="9">
        <v>291.32683855920391</v>
      </c>
      <c r="CD85" s="9">
        <v>15.764053848658886</v>
      </c>
      <c r="CE85" s="9">
        <v>19.153371766197679</v>
      </c>
      <c r="CF85" s="9">
        <v>31.719701366331059</v>
      </c>
      <c r="CG85" s="9">
        <v>23.26196420555161</v>
      </c>
      <c r="CH85" s="9">
        <v>5.8873794308264685E-2</v>
      </c>
      <c r="CI85" s="9">
        <v>296.70025112709925</v>
      </c>
      <c r="CJ85" s="9">
        <v>13.618774703939406</v>
      </c>
      <c r="CK85" s="9">
        <v>19.833237959583425</v>
      </c>
      <c r="CL85" s="9">
        <v>27.958336055662109</v>
      </c>
      <c r="CM85" s="9">
        <v>713.66764999999998</v>
      </c>
      <c r="CN85" s="11">
        <f>AVERAGE(CN83:CN84)</f>
        <v>172.31687499999998</v>
      </c>
      <c r="CO85" s="9">
        <v>435.60645</v>
      </c>
      <c r="CP85" s="9">
        <v>1.8340000000000001</v>
      </c>
      <c r="CQ85" s="9">
        <v>713.66764999999998</v>
      </c>
      <c r="CR85" s="11">
        <f>AVERAGE(CR83:CR84)</f>
        <v>31.502000000000002</v>
      </c>
      <c r="CS85" s="9">
        <v>3212</v>
      </c>
      <c r="CT85" s="9">
        <v>13.5</v>
      </c>
      <c r="CU85" s="9">
        <v>0.8</v>
      </c>
      <c r="CV85" s="9">
        <v>258.68415098065896</v>
      </c>
      <c r="CW85" s="9">
        <v>0.82</v>
      </c>
      <c r="CX85" s="9">
        <v>23.458740364090055</v>
      </c>
      <c r="CY85" s="9">
        <v>0.34482408984352952</v>
      </c>
      <c r="CZ85" s="9">
        <v>299.48773525633362</v>
      </c>
      <c r="DA85" s="9">
        <v>11.927904414662331</v>
      </c>
      <c r="DB85" s="9">
        <v>3.4660150585250782</v>
      </c>
      <c r="DC85" s="9">
        <v>38.724906921386719</v>
      </c>
      <c r="DD85" s="9">
        <v>80</v>
      </c>
      <c r="DE85" s="9">
        <v>84</v>
      </c>
      <c r="DF85" s="9">
        <v>118</v>
      </c>
      <c r="DG85" s="9">
        <v>61</v>
      </c>
      <c r="DH85" s="9">
        <v>10</v>
      </c>
      <c r="DI85" s="9">
        <v>5</v>
      </c>
      <c r="DJ85" s="9">
        <v>39.520000000000003</v>
      </c>
      <c r="DK85" s="9">
        <v>20.952999999999999</v>
      </c>
      <c r="DL85" s="9">
        <v>9.5399999999999991</v>
      </c>
      <c r="DM85" s="9">
        <v>13.75</v>
      </c>
      <c r="DN85" s="9">
        <f t="shared" si="43"/>
        <v>11.413</v>
      </c>
      <c r="DO85" s="9">
        <f t="shared" si="44"/>
        <v>0.45530472963298807</v>
      </c>
    </row>
    <row r="86" spans="1:119" x14ac:dyDescent="0.25">
      <c r="A86" s="12">
        <v>4</v>
      </c>
      <c r="B86" s="12">
        <v>14</v>
      </c>
      <c r="C86" s="14" t="s">
        <v>218</v>
      </c>
      <c r="D86" s="8" t="s">
        <v>223</v>
      </c>
      <c r="E86" s="8">
        <v>1</v>
      </c>
      <c r="F86" s="9">
        <v>35.700000000000003</v>
      </c>
      <c r="G86" s="9">
        <v>0</v>
      </c>
      <c r="H86" s="9">
        <v>3</v>
      </c>
      <c r="I86" s="9">
        <v>21.1</v>
      </c>
      <c r="J86" s="9">
        <v>0.65</v>
      </c>
      <c r="K86" s="9">
        <v>9.6999999999999993</v>
      </c>
      <c r="L86" s="9">
        <v>0.2</v>
      </c>
      <c r="M86" s="9">
        <v>0.45200000000000001</v>
      </c>
      <c r="N86" s="9">
        <v>0.109</v>
      </c>
      <c r="O86" s="9">
        <v>0.10100000000000001</v>
      </c>
      <c r="P86" s="9">
        <v>6.8000000000000005E-2</v>
      </c>
      <c r="Q86" s="9">
        <v>7.3194215574647741</v>
      </c>
      <c r="R86" s="9">
        <v>4.891104717088917E-2</v>
      </c>
      <c r="S86" s="9">
        <v>94.336315820362046</v>
      </c>
      <c r="T86" s="9">
        <v>1.2425289035007909</v>
      </c>
      <c r="U86" s="9">
        <v>2.4233535452676946</v>
      </c>
      <c r="V86" s="9">
        <v>29.91407585144043</v>
      </c>
      <c r="W86" s="9">
        <v>154.56229999999999</v>
      </c>
      <c r="X86" s="9">
        <v>5.8009000000000004</v>
      </c>
      <c r="Y86" s="9">
        <v>16.099299999999999</v>
      </c>
      <c r="Z86" s="9">
        <v>0.31859999999999999</v>
      </c>
      <c r="AA86" s="9">
        <v>154.56229999999999</v>
      </c>
      <c r="AB86" s="9">
        <v>0.13300000000000001</v>
      </c>
      <c r="AC86" s="9">
        <v>1085</v>
      </c>
      <c r="AD86" s="9">
        <v>43.6</v>
      </c>
      <c r="AE86" s="9">
        <v>6</v>
      </c>
      <c r="AF86" s="9">
        <v>16</v>
      </c>
      <c r="AG86" s="9">
        <v>29.5</v>
      </c>
      <c r="AH86" s="9">
        <v>25</v>
      </c>
      <c r="AI86" s="9">
        <v>0.6</v>
      </c>
      <c r="AJ86" s="9">
        <v>0.7</v>
      </c>
      <c r="AK86" s="9">
        <v>245.8</v>
      </c>
      <c r="AL86" s="9">
        <v>139.80000000000001</v>
      </c>
      <c r="AM86" s="9">
        <v>0.81</v>
      </c>
      <c r="AN86" s="9">
        <v>0.75</v>
      </c>
      <c r="AO86" s="9">
        <v>9.4510000000000005</v>
      </c>
      <c r="AP86" s="9">
        <v>2.9870000000000001</v>
      </c>
      <c r="AQ86" s="9">
        <v>10.61</v>
      </c>
      <c r="AR86" s="9">
        <v>3.012</v>
      </c>
      <c r="AS86" s="9">
        <v>37.371015002004917</v>
      </c>
      <c r="AT86" s="9">
        <v>3.6269518786417564E-2</v>
      </c>
      <c r="AU86" s="9">
        <v>63.450540687974453</v>
      </c>
      <c r="AV86" s="9">
        <v>24.887020565703992</v>
      </c>
      <c r="AW86" s="9">
        <v>57.846182607981483</v>
      </c>
      <c r="AX86" s="9">
        <v>32.901715851440429</v>
      </c>
      <c r="AY86" s="9">
        <v>20.290750478327592</v>
      </c>
      <c r="AZ86" s="9">
        <v>2.8105079027972667E-2</v>
      </c>
      <c r="BA86" s="9">
        <v>173.22842506214815</v>
      </c>
      <c r="BB86" s="9">
        <v>10.636811586715286</v>
      </c>
      <c r="BC86" s="9">
        <v>36.676302493000613</v>
      </c>
      <c r="BD86" s="9">
        <v>27.95974252844043</v>
      </c>
      <c r="BE86" s="9">
        <v>367.41219999999998</v>
      </c>
      <c r="BF86" s="9">
        <v>80.050299999999993</v>
      </c>
      <c r="BG86" s="9">
        <v>251.4853</v>
      </c>
      <c r="BH86" s="9">
        <v>2.1787999999999998</v>
      </c>
      <c r="BI86" s="9">
        <v>367.41219999999998</v>
      </c>
      <c r="BJ86" s="9">
        <v>13.698</v>
      </c>
      <c r="BK86" s="9">
        <v>1560</v>
      </c>
      <c r="BL86" s="9">
        <v>65.099999999999994</v>
      </c>
      <c r="BM86" s="9">
        <v>11</v>
      </c>
      <c r="BN86" s="9">
        <v>43</v>
      </c>
      <c r="BO86" s="9">
        <v>24.5</v>
      </c>
      <c r="BP86" s="9">
        <f>AVERAGE(BP87:BP88)</f>
        <v>22.45</v>
      </c>
      <c r="BQ86" s="9">
        <f t="shared" ref="BQ86:BT86" si="58">AVERAGE(BQ87:BQ88)</f>
        <v>0.9</v>
      </c>
      <c r="BR86" s="9">
        <f t="shared" si="58"/>
        <v>0.8</v>
      </c>
      <c r="BS86" s="9">
        <f t="shared" si="58"/>
        <v>268.88604688500584</v>
      </c>
      <c r="BT86" s="9">
        <f t="shared" si="58"/>
        <v>231.56815291262163</v>
      </c>
      <c r="BU86" s="9">
        <v>0.81</v>
      </c>
      <c r="BV86" s="9">
        <v>0.75</v>
      </c>
      <c r="BW86" s="9">
        <v>42.241</v>
      </c>
      <c r="BX86" s="9">
        <v>29.875</v>
      </c>
      <c r="BY86" s="9">
        <v>20.983000000000001</v>
      </c>
      <c r="BZ86" s="9">
        <v>10.512</v>
      </c>
      <c r="CA86" s="9">
        <v>22.978280008999825</v>
      </c>
      <c r="CB86" s="9">
        <v>5.0497827379327953E-2</v>
      </c>
      <c r="CC86" s="9">
        <v>305.01502764803433</v>
      </c>
      <c r="CD86" s="9">
        <v>11.308618076590607</v>
      </c>
      <c r="CE86" s="9">
        <v>19.271647123098507</v>
      </c>
      <c r="CF86" s="9">
        <v>33.653142528440426</v>
      </c>
      <c r="CG86" s="9">
        <f>AVERAGE(CG87:CG88)</f>
        <v>14.505637182226856</v>
      </c>
      <c r="CH86" s="9">
        <f t="shared" ref="CH86:CL86" si="59">AVERAGE(CH87:CH88)</f>
        <v>4.3062445380342734E-2</v>
      </c>
      <c r="CI86" s="9">
        <f t="shared" si="59"/>
        <v>314.7533204744156</v>
      </c>
      <c r="CJ86" s="9">
        <f t="shared" si="59"/>
        <v>9.4602558581639187</v>
      </c>
      <c r="CK86" s="9">
        <f t="shared" si="59"/>
        <v>18.92996199610868</v>
      </c>
      <c r="CL86" s="9">
        <f t="shared" si="59"/>
        <v>30.315324008848144</v>
      </c>
      <c r="CM86" s="9">
        <f>AVERAGE(CM87:CM88)</f>
        <v>1242.4729499999999</v>
      </c>
      <c r="CN86" s="9">
        <f>AVERAGE(CN87:CN88)</f>
        <v>233.06205</v>
      </c>
      <c r="CO86" s="9">
        <v>360.47710000000001</v>
      </c>
      <c r="CP86" s="9">
        <v>1.3222</v>
      </c>
      <c r="CQ86" s="9">
        <v>867.81169999999997</v>
      </c>
      <c r="CR86" s="9">
        <f>AVERAGE(CR87:CR88)</f>
        <v>29.341000000000001</v>
      </c>
      <c r="CS86" s="9">
        <v>3583</v>
      </c>
      <c r="CT86" s="9">
        <v>16.100000000000001</v>
      </c>
      <c r="CU86" s="9">
        <v>0.8</v>
      </c>
      <c r="CV86" s="9">
        <v>297.05983540153409</v>
      </c>
      <c r="CW86" s="9">
        <v>0.83</v>
      </c>
      <c r="CX86" s="9">
        <v>18.695639162881196</v>
      </c>
      <c r="CY86" s="9">
        <v>0.72652882746355174</v>
      </c>
      <c r="CZ86" s="9">
        <v>372.88443239081982</v>
      </c>
      <c r="DA86" s="9">
        <v>17.855981107212003</v>
      </c>
      <c r="DB86" s="9">
        <v>2.6639743683405839</v>
      </c>
      <c r="DC86" s="9">
        <v>37.205337524414063</v>
      </c>
      <c r="DD86" s="9">
        <v>76</v>
      </c>
      <c r="DE86" s="9">
        <v>80</v>
      </c>
      <c r="DF86" s="9">
        <v>110</v>
      </c>
      <c r="DG86" s="9">
        <v>70</v>
      </c>
      <c r="DH86" s="9">
        <v>15</v>
      </c>
      <c r="DI86" s="9">
        <v>11</v>
      </c>
      <c r="DJ86" s="9">
        <v>55.764000000000003</v>
      </c>
      <c r="DK86" s="9">
        <v>27.12</v>
      </c>
      <c r="DL86" s="9">
        <v>13.99</v>
      </c>
      <c r="DM86" s="9">
        <v>21.95</v>
      </c>
      <c r="DN86" s="9">
        <f t="shared" si="43"/>
        <v>13.13</v>
      </c>
      <c r="DO86" s="9">
        <f t="shared" si="44"/>
        <v>0.51585545722713866</v>
      </c>
    </row>
    <row r="87" spans="1:119" x14ac:dyDescent="0.25">
      <c r="A87" s="12">
        <v>5</v>
      </c>
      <c r="B87" s="12">
        <v>14</v>
      </c>
      <c r="C87" s="14" t="s">
        <v>218</v>
      </c>
      <c r="D87" s="8" t="s">
        <v>223</v>
      </c>
      <c r="E87" s="8">
        <v>2</v>
      </c>
      <c r="F87" s="9">
        <v>38.700000000000003</v>
      </c>
      <c r="G87" s="9">
        <v>0</v>
      </c>
      <c r="H87" s="9">
        <v>3</v>
      </c>
      <c r="I87" s="9">
        <v>20.5</v>
      </c>
      <c r="J87" s="9">
        <v>0.5</v>
      </c>
      <c r="K87" s="9">
        <v>8.4</v>
      </c>
      <c r="L87" s="9">
        <v>0.3</v>
      </c>
      <c r="M87" s="9">
        <v>0.43300000000000005</v>
      </c>
      <c r="N87" s="9">
        <v>0.115</v>
      </c>
      <c r="O87" s="9">
        <v>0.121</v>
      </c>
      <c r="P87" s="9">
        <v>7.2999999999999995E-2</v>
      </c>
      <c r="Q87" s="9">
        <v>6.3188288284080887</v>
      </c>
      <c r="R87" s="9">
        <v>5.1111824731510415E-2</v>
      </c>
      <c r="S87" s="9">
        <v>112.33990109195879</v>
      </c>
      <c r="T87" s="9">
        <v>1.2715567094641211</v>
      </c>
      <c r="U87" s="9">
        <v>2.394674708878942</v>
      </c>
      <c r="V87" s="9">
        <v>29.82878589630127</v>
      </c>
      <c r="W87" s="9">
        <v>161.8912</v>
      </c>
      <c r="X87" s="9">
        <v>5.7439999999999998</v>
      </c>
      <c r="Y87" s="9">
        <v>18.2241</v>
      </c>
      <c r="Z87" s="9">
        <v>0.28489999999999999</v>
      </c>
      <c r="AA87" s="9">
        <v>182.08529999999999</v>
      </c>
      <c r="AB87" s="9">
        <v>0.14499999999999999</v>
      </c>
      <c r="AC87" s="9">
        <v>949</v>
      </c>
      <c r="AD87" s="9">
        <v>40.799999999999997</v>
      </c>
      <c r="AE87" s="9">
        <v>4</v>
      </c>
      <c r="AF87" s="9">
        <v>10</v>
      </c>
      <c r="AG87" s="9">
        <v>23.8</v>
      </c>
      <c r="AH87" s="9">
        <v>21.5</v>
      </c>
      <c r="AI87" s="9">
        <v>0.5</v>
      </c>
      <c r="AJ87" s="9">
        <v>0.5</v>
      </c>
      <c r="AK87" s="9">
        <v>296.39999999999998</v>
      </c>
      <c r="AL87" s="9">
        <v>127.8</v>
      </c>
      <c r="AM87" s="9">
        <v>0.79</v>
      </c>
      <c r="AN87" s="9">
        <v>0.72</v>
      </c>
      <c r="AO87" s="9">
        <v>4.6210000000000004</v>
      </c>
      <c r="AP87" s="9">
        <v>1.6519999999999999</v>
      </c>
      <c r="AQ87" s="9">
        <v>2.7210000000000001</v>
      </c>
      <c r="AR87" s="9">
        <v>9.7000000000000003E-2</v>
      </c>
      <c r="AS87" s="9">
        <v>35.162338005074325</v>
      </c>
      <c r="AT87" s="9">
        <v>4.1535085224235796E-2</v>
      </c>
      <c r="AU87" s="9">
        <v>107.95019074166449</v>
      </c>
      <c r="AV87" s="9">
        <v>20.463579145551609</v>
      </c>
      <c r="AW87" s="9">
        <v>48.407519199090743</v>
      </c>
      <c r="AX87" s="9">
        <v>32.816425896301268</v>
      </c>
      <c r="AY87" s="9">
        <v>16.751799304487101</v>
      </c>
      <c r="AZ87" s="9">
        <v>1.7394638545675661E-2</v>
      </c>
      <c r="BA87" s="9">
        <v>237.65950886551599</v>
      </c>
      <c r="BB87" s="9">
        <v>5.127807137089464</v>
      </c>
      <c r="BC87" s="9">
        <v>24.541761755596273</v>
      </c>
      <c r="BD87" s="9">
        <v>27.874452573301269</v>
      </c>
      <c r="BE87" s="9">
        <v>424.0249</v>
      </c>
      <c r="BF87" s="9">
        <v>45.949399999999997</v>
      </c>
      <c r="BG87" s="9">
        <v>144.35419999999999</v>
      </c>
      <c r="BH87" s="9">
        <v>1.0835999999999999</v>
      </c>
      <c r="BI87" s="9">
        <v>424.0249</v>
      </c>
      <c r="BJ87" s="9">
        <v>3.911</v>
      </c>
      <c r="BK87" s="9">
        <v>1640</v>
      </c>
      <c r="BL87" s="9">
        <v>76.099999999999994</v>
      </c>
      <c r="BM87" s="9">
        <v>14</v>
      </c>
      <c r="BN87" s="9">
        <v>53</v>
      </c>
      <c r="BO87" s="9">
        <v>24.7</v>
      </c>
      <c r="BP87" s="9">
        <v>21.2</v>
      </c>
      <c r="BQ87" s="9">
        <v>0.9</v>
      </c>
      <c r="BR87" s="9">
        <v>0.8</v>
      </c>
      <c r="BS87" s="9">
        <v>272.26472672178915</v>
      </c>
      <c r="BT87" s="9">
        <v>230.67487711071743</v>
      </c>
      <c r="BU87" s="9">
        <v>0.79</v>
      </c>
      <c r="BV87" s="9">
        <v>0.72</v>
      </c>
      <c r="BW87" s="9">
        <v>42.164999999999999</v>
      </c>
      <c r="BX87" s="9">
        <v>25.617000000000001</v>
      </c>
      <c r="BY87" s="9">
        <v>16.512</v>
      </c>
      <c r="BZ87" s="9">
        <v>11.653</v>
      </c>
      <c r="CA87" s="9">
        <v>20.918714058120571</v>
      </c>
      <c r="CB87" s="9">
        <v>5.1644732431285222E-2</v>
      </c>
      <c r="CC87" s="9">
        <v>312.08435677389537</v>
      </c>
      <c r="CD87" s="9">
        <v>10.997030912447567</v>
      </c>
      <c r="CE87" s="9">
        <v>18.420075447305972</v>
      </c>
      <c r="CF87" s="9">
        <v>33.567852573301266</v>
      </c>
      <c r="CG87" s="9">
        <v>12.416773192015487</v>
      </c>
      <c r="CH87" s="9">
        <v>4.4034193720631658E-2</v>
      </c>
      <c r="CI87" s="9">
        <v>318.64725571259646</v>
      </c>
      <c r="CJ87" s="9">
        <v>9.5574038291372609</v>
      </c>
      <c r="CK87" s="9">
        <v>18.724580496264867</v>
      </c>
      <c r="CL87" s="9">
        <v>31.654638469602538</v>
      </c>
      <c r="CM87" s="9">
        <v>1445.2263</v>
      </c>
      <c r="CN87" s="9">
        <v>253.5958</v>
      </c>
      <c r="CO87" s="9">
        <v>667.88930000000005</v>
      </c>
      <c r="CP87" s="9">
        <v>1.4710000000000001</v>
      </c>
      <c r="CQ87" s="9">
        <f>AVERAGE(CQ85:CQ86)</f>
        <v>790.73967500000003</v>
      </c>
      <c r="CR87" s="9">
        <v>24.562000000000001</v>
      </c>
      <c r="CS87" s="9">
        <v>4595</v>
      </c>
      <c r="CT87" s="9">
        <v>14.1</v>
      </c>
      <c r="CU87" s="9">
        <v>0.8</v>
      </c>
      <c r="CV87" s="9">
        <v>306.75466080814965</v>
      </c>
      <c r="CW87" s="9">
        <v>0.83</v>
      </c>
      <c r="CX87" s="9">
        <v>18.578946503816759</v>
      </c>
      <c r="CY87" s="9">
        <v>0.72726329423784808</v>
      </c>
      <c r="CZ87" s="9">
        <v>373.2470397629437</v>
      </c>
      <c r="DA87" s="9">
        <v>17.867297863228234</v>
      </c>
      <c r="DB87" s="9">
        <v>2.6633450222235013</v>
      </c>
      <c r="DC87" s="9">
        <v>37.204360961914063</v>
      </c>
      <c r="DD87" s="9">
        <v>76</v>
      </c>
      <c r="DE87" s="9">
        <v>80</v>
      </c>
      <c r="DF87" s="9">
        <v>110</v>
      </c>
      <c r="DG87" s="9">
        <v>68</v>
      </c>
      <c r="DH87" s="9">
        <v>18</v>
      </c>
      <c r="DI87" s="9">
        <v>13</v>
      </c>
      <c r="DJ87" s="9">
        <v>57.59</v>
      </c>
      <c r="DK87" s="9">
        <v>28.55</v>
      </c>
      <c r="DL87" s="9">
        <v>14.26</v>
      </c>
      <c r="DM87" s="9">
        <v>21.95</v>
      </c>
      <c r="DN87" s="9">
        <f t="shared" si="43"/>
        <v>14.290000000000001</v>
      </c>
      <c r="DO87" s="9">
        <f t="shared" si="44"/>
        <v>0.49947460595446586</v>
      </c>
    </row>
    <row r="88" spans="1:119" x14ac:dyDescent="0.25">
      <c r="A88" s="12">
        <v>6</v>
      </c>
      <c r="B88" s="12">
        <v>14</v>
      </c>
      <c r="C88" s="14" t="s">
        <v>218</v>
      </c>
      <c r="D88" s="8" t="s">
        <v>223</v>
      </c>
      <c r="E88" s="8">
        <v>3</v>
      </c>
      <c r="F88" s="9">
        <v>38.6</v>
      </c>
      <c r="G88" s="9">
        <v>0</v>
      </c>
      <c r="H88" s="9">
        <v>3</v>
      </c>
      <c r="I88" s="9">
        <v>20.8</v>
      </c>
      <c r="J88" s="9">
        <v>0.6</v>
      </c>
      <c r="K88" s="9">
        <v>8.6</v>
      </c>
      <c r="L88" s="9">
        <v>0.25</v>
      </c>
      <c r="M88" s="9">
        <v>0.46700000000000003</v>
      </c>
      <c r="N88" s="9">
        <v>0.10299999999999999</v>
      </c>
      <c r="O88" s="9">
        <v>0.105</v>
      </c>
      <c r="P88" s="9">
        <v>7.4999999999999997E-2</v>
      </c>
      <c r="Q88" s="9">
        <v>9.3274520283015008</v>
      </c>
      <c r="R88" s="9">
        <v>3.1970870519722167E-2</v>
      </c>
      <c r="S88" s="9">
        <v>-112.36369356634722</v>
      </c>
      <c r="T88" s="9">
        <v>1.75814224757691</v>
      </c>
      <c r="U88" s="9">
        <v>2.2603663533509719</v>
      </c>
      <c r="V88" s="9">
        <v>28.489471435546875</v>
      </c>
      <c r="W88" s="9">
        <v>182.08529999999999</v>
      </c>
      <c r="X88" s="9">
        <f>AVERAGE(X86:X87)</f>
        <v>5.7724500000000001</v>
      </c>
      <c r="Y88" s="9">
        <v>18.045300000000001</v>
      </c>
      <c r="Z88" s="9">
        <v>0.3856</v>
      </c>
      <c r="AA88" s="9">
        <v>201.60650000000001</v>
      </c>
      <c r="AB88" s="9">
        <v>0.129</v>
      </c>
      <c r="AC88" s="9">
        <v>1213</v>
      </c>
      <c r="AD88" s="9">
        <v>39.1</v>
      </c>
      <c r="AE88" s="9">
        <v>4</v>
      </c>
      <c r="AF88" s="9">
        <v>11</v>
      </c>
      <c r="AG88" s="9">
        <v>24.5</v>
      </c>
      <c r="AH88" s="9">
        <v>23.8</v>
      </c>
      <c r="AI88" s="9">
        <v>0.7</v>
      </c>
      <c r="AJ88" s="9">
        <v>0.7</v>
      </c>
      <c r="AK88" s="9">
        <v>247.7</v>
      </c>
      <c r="AL88" s="9">
        <v>153.69999999999999</v>
      </c>
      <c r="AM88" s="9">
        <v>0.8</v>
      </c>
      <c r="AN88" s="9">
        <v>0.76</v>
      </c>
      <c r="AO88" s="9">
        <v>4.84</v>
      </c>
      <c r="AP88" s="9">
        <v>1.0169999999999999</v>
      </c>
      <c r="AQ88" s="9">
        <v>3.1819999999999999</v>
      </c>
      <c r="AR88" s="9">
        <v>1.0189999999999999</v>
      </c>
      <c r="AS88" s="9">
        <v>37.705948456154843</v>
      </c>
      <c r="AT88" s="9">
        <v>3.2255143162931058E-2</v>
      </c>
      <c r="AU88" s="9">
        <v>88.219409753841717</v>
      </c>
      <c r="AV88" s="9">
        <v>19.97184772452168</v>
      </c>
      <c r="AW88" s="9">
        <v>52.167397565730752</v>
      </c>
      <c r="AX88" s="9">
        <v>31.477111435546874</v>
      </c>
      <c r="AY88" s="9">
        <v>15.058499510929284</v>
      </c>
      <c r="AZ88" s="9">
        <v>1.1498019309910163E-3</v>
      </c>
      <c r="BA88" s="9">
        <v>52.611623495888296</v>
      </c>
      <c r="BB88" s="9">
        <v>1.0884703769794213</v>
      </c>
      <c r="BC88" s="9">
        <v>61.425100052980021</v>
      </c>
      <c r="BD88" s="9">
        <v>26.535138112546875</v>
      </c>
      <c r="BE88" s="11">
        <f>AVERAGE(BE86:BE87)</f>
        <v>395.71854999999999</v>
      </c>
      <c r="BF88" s="11">
        <f t="shared" ref="BF88:BK88" si="60">AVERAGE(BF86:BF87)</f>
        <v>62.999849999999995</v>
      </c>
      <c r="BG88" s="11">
        <f t="shared" si="60"/>
        <v>197.91974999999999</v>
      </c>
      <c r="BH88" s="11">
        <f t="shared" si="60"/>
        <v>1.6311999999999998</v>
      </c>
      <c r="BI88" s="11">
        <f t="shared" si="60"/>
        <v>395.71854999999999</v>
      </c>
      <c r="BJ88" s="11">
        <f t="shared" si="60"/>
        <v>8.8045000000000009</v>
      </c>
      <c r="BK88" s="11">
        <f t="shared" si="60"/>
        <v>1600</v>
      </c>
      <c r="BL88" s="9">
        <v>64.900000000000006</v>
      </c>
      <c r="BM88" s="9">
        <v>11</v>
      </c>
      <c r="BN88" s="9">
        <v>42</v>
      </c>
      <c r="BO88" s="9">
        <v>25.1</v>
      </c>
      <c r="BP88" s="9">
        <v>23.7</v>
      </c>
      <c r="BQ88" s="9">
        <v>0.9</v>
      </c>
      <c r="BR88" s="9">
        <v>0.8</v>
      </c>
      <c r="BS88" s="9">
        <v>265.50736704822253</v>
      </c>
      <c r="BT88" s="9">
        <v>232.46142871452582</v>
      </c>
      <c r="BU88" s="9">
        <v>0.8</v>
      </c>
      <c r="BV88" s="9">
        <v>0.76</v>
      </c>
      <c r="BW88" s="9">
        <v>38.414999999999999</v>
      </c>
      <c r="BX88" s="9">
        <v>29.741</v>
      </c>
      <c r="BY88" s="9">
        <v>15.551</v>
      </c>
      <c r="BZ88" s="9">
        <v>9.0649999999999995</v>
      </c>
      <c r="CA88" s="9">
        <v>25.193338360880027</v>
      </c>
      <c r="CB88" s="9">
        <v>5.7887365632092312E-2</v>
      </c>
      <c r="CC88" s="9">
        <v>304.1158560560898</v>
      </c>
      <c r="CD88" s="9">
        <v>12.581164173971583</v>
      </c>
      <c r="CE88" s="9">
        <v>18.769590663376068</v>
      </c>
      <c r="CF88" s="9">
        <v>32.228538112546879</v>
      </c>
      <c r="CG88" s="9">
        <v>16.594501172438225</v>
      </c>
      <c r="CH88" s="9">
        <v>4.2090697040053804E-2</v>
      </c>
      <c r="CI88" s="9">
        <v>310.85938523623474</v>
      </c>
      <c r="CJ88" s="9">
        <v>9.3631078871905764</v>
      </c>
      <c r="CK88" s="9">
        <v>19.135343495952494</v>
      </c>
      <c r="CL88" s="9">
        <v>28.976009548093749</v>
      </c>
      <c r="CM88" s="9">
        <v>1039.7195999999999</v>
      </c>
      <c r="CN88" s="9">
        <v>212.5283</v>
      </c>
      <c r="CO88" s="9">
        <v>667.67719999999997</v>
      </c>
      <c r="CP88" s="9">
        <f>AVERAGE(CP86:CP87)</f>
        <v>1.3966000000000001</v>
      </c>
      <c r="CQ88" s="9">
        <v>1039.7195999999999</v>
      </c>
      <c r="CR88" s="9">
        <v>34.119999999999997</v>
      </c>
      <c r="CS88" s="9">
        <v>5139</v>
      </c>
      <c r="CT88" s="9">
        <v>14.8</v>
      </c>
      <c r="CU88" s="9">
        <v>0.8</v>
      </c>
      <c r="CV88" s="9">
        <v>305.14720333872469</v>
      </c>
      <c r="CW88" s="9">
        <v>0.82</v>
      </c>
      <c r="CX88" s="9">
        <v>18.599886264868683</v>
      </c>
      <c r="CY88" s="9">
        <v>0.72787539154869374</v>
      </c>
      <c r="CZ88" s="9">
        <v>373.20493318205075</v>
      </c>
      <c r="DA88" s="9">
        <v>17.872231570008793</v>
      </c>
      <c r="DB88" s="9">
        <v>2.6621721654565045</v>
      </c>
      <c r="DC88" s="9">
        <v>37.201042175292969</v>
      </c>
      <c r="DD88" s="9">
        <v>76</v>
      </c>
      <c r="DE88" s="9">
        <v>80</v>
      </c>
      <c r="DF88" s="9">
        <v>110</v>
      </c>
      <c r="DG88" s="9">
        <v>72.5</v>
      </c>
      <c r="DH88" s="9">
        <v>17</v>
      </c>
      <c r="DI88" s="9">
        <v>14</v>
      </c>
      <c r="DJ88" s="9">
        <v>59.15</v>
      </c>
      <c r="DK88" s="9">
        <v>29.52</v>
      </c>
      <c r="DL88" s="9">
        <v>15.42</v>
      </c>
      <c r="DM88" s="9">
        <v>22.12</v>
      </c>
      <c r="DN88" s="9">
        <f t="shared" si="43"/>
        <v>14.1</v>
      </c>
      <c r="DO88" s="9">
        <f t="shared" si="44"/>
        <v>0.52235772357723576</v>
      </c>
    </row>
    <row r="89" spans="1:119" x14ac:dyDescent="0.25">
      <c r="A89" s="12">
        <v>4</v>
      </c>
      <c r="B89" s="12">
        <v>15</v>
      </c>
      <c r="C89" s="14" t="s">
        <v>219</v>
      </c>
      <c r="D89" s="8" t="s">
        <v>223</v>
      </c>
      <c r="E89" s="8">
        <v>1</v>
      </c>
      <c r="F89" s="9">
        <v>36.700000000000003</v>
      </c>
      <c r="G89" s="9">
        <v>0</v>
      </c>
      <c r="H89" s="9">
        <v>3</v>
      </c>
      <c r="I89" s="9">
        <v>18.7</v>
      </c>
      <c r="J89" s="9">
        <v>0.7</v>
      </c>
      <c r="K89" s="9">
        <v>7.5</v>
      </c>
      <c r="L89" s="9">
        <v>0.25</v>
      </c>
      <c r="M89" s="9">
        <v>0.43599999999999994</v>
      </c>
      <c r="N89" s="9">
        <v>0.16500000000000001</v>
      </c>
      <c r="O89" s="9">
        <v>0.12</v>
      </c>
      <c r="P89" s="9">
        <v>6.9000000000000006E-2</v>
      </c>
      <c r="Q89" s="9">
        <v>15.034042132630878</v>
      </c>
      <c r="R89" s="9">
        <v>0.23280804205126998</v>
      </c>
      <c r="S89" s="9">
        <v>241.87752392025459</v>
      </c>
      <c r="T89" s="9">
        <v>4.6759236931468537</v>
      </c>
      <c r="U89" s="9">
        <v>1.994224167148315</v>
      </c>
      <c r="V89" s="9">
        <v>27.569540023803711</v>
      </c>
      <c r="W89" s="9">
        <v>201.60650000000001</v>
      </c>
      <c r="X89" s="9">
        <v>17.877800000000001</v>
      </c>
      <c r="Y89" s="9">
        <v>38.136000000000003</v>
      </c>
      <c r="Z89" s="9">
        <v>0.40820000000000001</v>
      </c>
      <c r="AA89" s="9">
        <v>236.68790000000001</v>
      </c>
      <c r="AB89" s="9">
        <v>0.626</v>
      </c>
      <c r="AC89" s="9">
        <v>1633</v>
      </c>
      <c r="AD89" s="9">
        <v>32.1</v>
      </c>
      <c r="AE89" s="9">
        <v>4</v>
      </c>
      <c r="AF89" s="9">
        <v>12</v>
      </c>
      <c r="AG89" s="9">
        <v>20.7</v>
      </c>
      <c r="AH89" s="9">
        <v>20.7</v>
      </c>
      <c r="AI89" s="9">
        <v>0.7</v>
      </c>
      <c r="AJ89" s="9">
        <v>0.6</v>
      </c>
      <c r="AK89" s="9">
        <v>293.3</v>
      </c>
      <c r="AL89" s="9">
        <v>185.8</v>
      </c>
      <c r="AM89" s="9">
        <v>0.78</v>
      </c>
      <c r="AN89" s="9">
        <v>0.67</v>
      </c>
      <c r="AO89" s="9">
        <v>2.64</v>
      </c>
      <c r="AP89" s="9">
        <v>8.8999999999999996E-2</v>
      </c>
      <c r="AQ89" s="9">
        <v>2.78</v>
      </c>
      <c r="AR89" s="9">
        <v>9.7000000000000003E-2</v>
      </c>
      <c r="AS89" s="9">
        <v>40.450112695561693</v>
      </c>
      <c r="AT89" s="9">
        <v>4.0289576516256025E-2</v>
      </c>
      <c r="AU89" s="9">
        <v>110.63383290668847</v>
      </c>
      <c r="AV89" s="9">
        <v>19.644357444646264</v>
      </c>
      <c r="AW89" s="9">
        <v>47.20528669846756</v>
      </c>
      <c r="AX89" s="9">
        <v>30.55718002380371</v>
      </c>
      <c r="AY89" s="9">
        <v>18.386572956761164</v>
      </c>
      <c r="AZ89" s="9">
        <v>1.0289725093584447E-2</v>
      </c>
      <c r="BA89" s="9">
        <v>243.00161210526645</v>
      </c>
      <c r="BB89" s="9">
        <v>2.9465453140413862</v>
      </c>
      <c r="BC89" s="9">
        <v>23.832250752100684</v>
      </c>
      <c r="BD89" s="9">
        <v>25.615206700803711</v>
      </c>
      <c r="BE89" s="9">
        <f>AVERAGE(BE90:BE91)</f>
        <v>268.79590000000002</v>
      </c>
      <c r="BF89" s="9">
        <f t="shared" ref="BF89:BK89" si="61">AVERAGE(BF90:BF91)</f>
        <v>39.760999999999996</v>
      </c>
      <c r="BG89" s="9">
        <f t="shared" si="61"/>
        <v>124.91295</v>
      </c>
      <c r="BH89" s="9">
        <f t="shared" si="61"/>
        <v>1.4868999999999999</v>
      </c>
      <c r="BI89" s="9">
        <f t="shared" si="61"/>
        <v>268.79590000000002</v>
      </c>
      <c r="BJ89" s="9">
        <f t="shared" si="61"/>
        <v>4.6375000000000002</v>
      </c>
      <c r="BK89" s="9">
        <f t="shared" si="61"/>
        <v>836</v>
      </c>
      <c r="BL89" s="9">
        <v>63.5</v>
      </c>
      <c r="BM89" s="9">
        <v>8</v>
      </c>
      <c r="BN89" s="9">
        <v>32</v>
      </c>
      <c r="BO89" s="9">
        <v>27.5</v>
      </c>
      <c r="BP89" s="9">
        <v>24.6</v>
      </c>
      <c r="BQ89" s="9">
        <v>0.8</v>
      </c>
      <c r="BR89" s="9">
        <v>0.6</v>
      </c>
      <c r="BS89" s="9">
        <v>258.68415098065896</v>
      </c>
      <c r="BT89" s="9">
        <v>218.02238372676982</v>
      </c>
      <c r="BU89" s="9">
        <v>0.76</v>
      </c>
      <c r="BV89" s="9">
        <v>0.67</v>
      </c>
      <c r="BW89" s="9">
        <v>32.706000000000003</v>
      </c>
      <c r="BX89" s="9">
        <v>25.613</v>
      </c>
      <c r="BY89" s="9">
        <v>12.314</v>
      </c>
      <c r="BZ89" s="9">
        <v>10.975</v>
      </c>
      <c r="CA89" s="9">
        <v>21.310889219980542</v>
      </c>
      <c r="CB89" s="9">
        <v>3.3584695575000774E-2</v>
      </c>
      <c r="CC89" s="9">
        <v>337.13140519292278</v>
      </c>
      <c r="CD89" s="9">
        <v>5.9601724888853109</v>
      </c>
      <c r="CE89" s="9">
        <v>15.598842456877668</v>
      </c>
      <c r="CF89" s="9">
        <v>31.308606700803711</v>
      </c>
      <c r="CG89" s="9">
        <v>11.033448893768213</v>
      </c>
      <c r="CH89" s="9">
        <v>3.2874481924034735E-2</v>
      </c>
      <c r="CI89" s="9">
        <v>345.74201957568215</v>
      </c>
      <c r="CJ89" s="9">
        <v>5.9213878169388732</v>
      </c>
      <c r="CK89" s="9">
        <v>15.810785843564741</v>
      </c>
      <c r="CL89" s="9">
        <v>27.136146724607421</v>
      </c>
      <c r="CM89" s="9">
        <v>716.95050000000003</v>
      </c>
      <c r="CN89" s="9">
        <v>70.090699999999998</v>
      </c>
      <c r="CO89" s="9">
        <v>220.19630000000001</v>
      </c>
      <c r="CP89" s="9">
        <v>0.97760000000000002</v>
      </c>
      <c r="CQ89" s="9">
        <v>716.95050000000003</v>
      </c>
      <c r="CR89" s="9">
        <f>AVERAGE(CR90:CR91)</f>
        <v>26.125999999999998</v>
      </c>
      <c r="CS89" s="9">
        <v>2265</v>
      </c>
      <c r="CT89" s="9">
        <v>16.5</v>
      </c>
      <c r="CU89" s="9">
        <v>1</v>
      </c>
      <c r="CV89" s="9">
        <v>255.24700111142118</v>
      </c>
      <c r="CW89" s="9">
        <v>0.84</v>
      </c>
      <c r="CX89" s="9">
        <v>25.960516073399418</v>
      </c>
      <c r="CY89" s="9">
        <v>0.74794666253813979</v>
      </c>
      <c r="CZ89" s="9">
        <v>353.1671789218064</v>
      </c>
      <c r="DA89" s="9">
        <v>18.245920770914573</v>
      </c>
      <c r="DB89" s="9">
        <v>2.6580535663966245</v>
      </c>
      <c r="DC89" s="9">
        <v>36.902851104736328</v>
      </c>
      <c r="DD89" s="9">
        <v>87</v>
      </c>
      <c r="DE89" s="9">
        <v>93</v>
      </c>
      <c r="DF89" s="9">
        <v>124</v>
      </c>
      <c r="DG89" s="9">
        <v>72</v>
      </c>
      <c r="DH89" s="9">
        <v>9</v>
      </c>
      <c r="DI89" s="9">
        <v>5</v>
      </c>
      <c r="DJ89" s="9">
        <v>48.12</v>
      </c>
      <c r="DK89" s="9">
        <v>28.12</v>
      </c>
      <c r="DL89" s="9">
        <v>12.8</v>
      </c>
      <c r="DM89" s="9">
        <v>15.77</v>
      </c>
      <c r="DN89" s="9">
        <f t="shared" si="43"/>
        <v>15.32</v>
      </c>
      <c r="DO89" s="9">
        <f t="shared" si="44"/>
        <v>0.45519203413940257</v>
      </c>
    </row>
    <row r="90" spans="1:119" x14ac:dyDescent="0.25">
      <c r="A90" s="12">
        <v>5</v>
      </c>
      <c r="B90" s="12">
        <v>15</v>
      </c>
      <c r="C90" s="14" t="s">
        <v>219</v>
      </c>
      <c r="D90" s="8" t="s">
        <v>223</v>
      </c>
      <c r="E90" s="8">
        <v>2</v>
      </c>
      <c r="F90" s="9">
        <v>38.5</v>
      </c>
      <c r="G90" s="9">
        <v>0</v>
      </c>
      <c r="H90" s="9">
        <v>3</v>
      </c>
      <c r="I90" s="9">
        <v>19.8</v>
      </c>
      <c r="J90" s="9">
        <v>0.6</v>
      </c>
      <c r="K90" s="9">
        <v>8.3000000000000007</v>
      </c>
      <c r="L90" s="9">
        <v>0.26</v>
      </c>
      <c r="M90" s="9">
        <v>0.48899999999999999</v>
      </c>
      <c r="N90" s="9">
        <v>0.17599999999999999</v>
      </c>
      <c r="O90" s="9">
        <v>9.0999999999999998E-2</v>
      </c>
      <c r="P90" s="9">
        <v>7.0999999999999994E-2</v>
      </c>
      <c r="Q90" s="9">
        <v>13.207400089248173</v>
      </c>
      <c r="R90" s="9">
        <v>0.22758797759930452</v>
      </c>
      <c r="S90" s="9">
        <v>252.17634711320423</v>
      </c>
      <c r="T90" s="9">
        <v>4.5842222031600688</v>
      </c>
      <c r="U90" s="9">
        <v>1.9979546759823386</v>
      </c>
      <c r="V90" s="9">
        <v>27.567728042602539</v>
      </c>
      <c r="W90" s="9">
        <v>236.68790000000001</v>
      </c>
      <c r="X90" s="9">
        <v>16.407699999999998</v>
      </c>
      <c r="Y90" s="9">
        <v>56.164700000000003</v>
      </c>
      <c r="Z90" s="9">
        <v>0.49690000000000001</v>
      </c>
      <c r="AA90" s="9">
        <v>280.3809</v>
      </c>
      <c r="AB90" s="9">
        <v>0.61699999999999999</v>
      </c>
      <c r="AC90" s="9">
        <v>1016</v>
      </c>
      <c r="AD90" s="9">
        <v>34</v>
      </c>
      <c r="AE90" s="9">
        <v>5</v>
      </c>
      <c r="AF90" s="9">
        <v>14</v>
      </c>
      <c r="AG90" s="9">
        <v>21</v>
      </c>
      <c r="AH90" s="9">
        <v>21</v>
      </c>
      <c r="AI90" s="9">
        <v>0.7</v>
      </c>
      <c r="AJ90" s="9">
        <v>0.6</v>
      </c>
      <c r="AK90" s="9">
        <v>351.4</v>
      </c>
      <c r="AL90" s="9">
        <v>225.7</v>
      </c>
      <c r="AM90" s="9">
        <v>0.76</v>
      </c>
      <c r="AN90" s="9">
        <v>0.68</v>
      </c>
      <c r="AO90" s="9">
        <v>5.46</v>
      </c>
      <c r="AP90" s="9">
        <v>1.0920000000000001</v>
      </c>
      <c r="AQ90" s="9">
        <v>4.29</v>
      </c>
      <c r="AR90" s="9">
        <v>1.0169999999999999</v>
      </c>
      <c r="AS90" s="9">
        <v>43.473267926402016</v>
      </c>
      <c r="AT90" s="9">
        <v>3.467901988251007E-2</v>
      </c>
      <c r="AU90" s="9">
        <v>99.646793944401566</v>
      </c>
      <c r="AV90" s="9">
        <v>19.82618932553185</v>
      </c>
      <c r="AW90" s="9">
        <v>49.057372123734034</v>
      </c>
      <c r="AX90" s="9">
        <v>30.555368042602538</v>
      </c>
      <c r="AY90" s="9">
        <v>17.636711961708624</v>
      </c>
      <c r="AZ90" s="9">
        <v>1.2187984472238766E-2</v>
      </c>
      <c r="BA90" s="9">
        <v>170.48991397352083</v>
      </c>
      <c r="BB90" s="9">
        <v>4.8432852001249991</v>
      </c>
      <c r="BC90" s="9">
        <v>37.887041049268085</v>
      </c>
      <c r="BD90" s="9">
        <v>25.613394719602539</v>
      </c>
      <c r="BE90" s="9">
        <v>246.63460000000001</v>
      </c>
      <c r="BF90" s="9">
        <v>38.970700000000001</v>
      </c>
      <c r="BG90" s="9">
        <v>122.4302</v>
      </c>
      <c r="BH90" s="9">
        <v>1.5801000000000001</v>
      </c>
      <c r="BI90" s="9">
        <v>246.63460000000001</v>
      </c>
      <c r="BJ90" s="9">
        <v>4.8360000000000003</v>
      </c>
      <c r="BK90" s="9">
        <v>980</v>
      </c>
      <c r="BL90" s="9">
        <v>60.4</v>
      </c>
      <c r="BM90" s="9">
        <v>8</v>
      </c>
      <c r="BN90" s="9">
        <v>31</v>
      </c>
      <c r="BO90" s="9">
        <v>20.399999999999999</v>
      </c>
      <c r="BP90" s="9">
        <v>25</v>
      </c>
      <c r="BQ90" s="9">
        <v>0.8</v>
      </c>
      <c r="BR90" s="9">
        <v>0.6</v>
      </c>
      <c r="BS90" s="9">
        <v>248.31981629108327</v>
      </c>
      <c r="BT90" s="9">
        <v>216.19315819126524</v>
      </c>
      <c r="BU90" s="9">
        <v>0.78</v>
      </c>
      <c r="BV90" s="9">
        <v>0.71</v>
      </c>
      <c r="BW90" s="9">
        <v>31.600999999999999</v>
      </c>
      <c r="BX90" s="9">
        <v>29.54</v>
      </c>
      <c r="BY90" s="9">
        <v>13.862</v>
      </c>
      <c r="BZ90" s="9">
        <v>11.234999999999999</v>
      </c>
      <c r="CA90" s="9">
        <v>21.666034766757093</v>
      </c>
      <c r="CB90" s="9">
        <v>4.650136323230164E-2</v>
      </c>
      <c r="CC90" s="9">
        <v>330.59829647929178</v>
      </c>
      <c r="CD90" s="9">
        <v>8.423990637403957</v>
      </c>
      <c r="CE90" s="9">
        <v>15.909315093395881</v>
      </c>
      <c r="CF90" s="9">
        <v>31.306794719602539</v>
      </c>
      <c r="CG90" s="9">
        <v>16.334410635421072</v>
      </c>
      <c r="CH90" s="9">
        <v>4.605803674516272E-2</v>
      </c>
      <c r="CI90" s="9">
        <v>332.86080124693092</v>
      </c>
      <c r="CJ90" s="9">
        <v>8.6374415245450926</v>
      </c>
      <c r="CK90" s="9">
        <v>16.413849143252385</v>
      </c>
      <c r="CL90" s="9">
        <v>27.132522762205078</v>
      </c>
      <c r="CM90" s="9">
        <v>774.31140000000005</v>
      </c>
      <c r="CN90" s="9">
        <v>169.08519999999999</v>
      </c>
      <c r="CO90" s="9">
        <v>296.35750000000002</v>
      </c>
      <c r="CP90" s="9">
        <v>1.1181000000000001</v>
      </c>
      <c r="CQ90" s="9">
        <v>774.31140000000005</v>
      </c>
      <c r="CR90" s="9">
        <v>29.693999999999999</v>
      </c>
      <c r="CS90" s="10">
        <v>3700</v>
      </c>
      <c r="CT90" s="9">
        <v>14.1</v>
      </c>
      <c r="CU90" s="9">
        <v>1</v>
      </c>
      <c r="CV90" s="9">
        <v>244.8290197749759</v>
      </c>
      <c r="CW90" s="9">
        <v>0.84</v>
      </c>
      <c r="CX90" s="9">
        <v>25.960516073399418</v>
      </c>
      <c r="CY90" s="9">
        <v>0.74794666253813979</v>
      </c>
      <c r="CZ90" s="9">
        <v>353.1671789218064</v>
      </c>
      <c r="DA90" s="9">
        <v>18.245920770914573</v>
      </c>
      <c r="DB90" s="9">
        <v>2.6580535663966245</v>
      </c>
      <c r="DC90" s="9">
        <v>36.902851104736328</v>
      </c>
      <c r="DD90" s="9">
        <v>87</v>
      </c>
      <c r="DE90" s="9">
        <v>93</v>
      </c>
      <c r="DF90" s="9">
        <v>124</v>
      </c>
      <c r="DG90" s="9">
        <v>76</v>
      </c>
      <c r="DH90" s="9">
        <v>9</v>
      </c>
      <c r="DI90" s="9">
        <v>7</v>
      </c>
      <c r="DJ90" s="9">
        <v>50.35</v>
      </c>
      <c r="DK90" s="9">
        <v>28.99</v>
      </c>
      <c r="DL90" s="9">
        <v>13.65</v>
      </c>
      <c r="DM90" s="9">
        <v>15.96</v>
      </c>
      <c r="DN90" s="9">
        <f t="shared" si="43"/>
        <v>15.339999999999998</v>
      </c>
      <c r="DO90" s="9">
        <f t="shared" si="44"/>
        <v>0.47085201793721976</v>
      </c>
    </row>
    <row r="91" spans="1:119" x14ac:dyDescent="0.25">
      <c r="A91" s="12">
        <v>6</v>
      </c>
      <c r="B91" s="12">
        <v>15</v>
      </c>
      <c r="C91" s="14" t="s">
        <v>219</v>
      </c>
      <c r="D91" s="8" t="s">
        <v>223</v>
      </c>
      <c r="E91" s="8">
        <v>3</v>
      </c>
      <c r="F91" s="9">
        <v>38.200000000000003</v>
      </c>
      <c r="G91" s="9">
        <v>0</v>
      </c>
      <c r="H91" s="9">
        <v>3</v>
      </c>
      <c r="I91" s="9">
        <v>19.5</v>
      </c>
      <c r="J91" s="9">
        <v>0.5</v>
      </c>
      <c r="K91" s="9">
        <v>7.9</v>
      </c>
      <c r="L91" s="9">
        <v>0.32</v>
      </c>
      <c r="M91" s="9">
        <v>0.49099999999999999</v>
      </c>
      <c r="N91" s="9">
        <v>0.187</v>
      </c>
      <c r="O91" s="9">
        <v>0.10299999999999999</v>
      </c>
      <c r="P91" s="9">
        <v>6.7000000000000004E-2</v>
      </c>
      <c r="Q91" s="9">
        <v>15.032127164118082</v>
      </c>
      <c r="R91" s="9">
        <v>0.21870622655892963</v>
      </c>
      <c r="S91" s="9">
        <v>234.62733736669225</v>
      </c>
      <c r="T91" s="9">
        <v>4.4149159277807009</v>
      </c>
      <c r="U91" s="9">
        <v>1.998830960545616</v>
      </c>
      <c r="V91" s="9">
        <v>27.571603775024414</v>
      </c>
      <c r="W91" s="9">
        <v>280.3809</v>
      </c>
      <c r="X91" s="9">
        <v>17.7773</v>
      </c>
      <c r="Y91" s="9">
        <v>48.863999999999997</v>
      </c>
      <c r="Z91" s="9">
        <v>0.35680000000000001</v>
      </c>
      <c r="AA91" s="9">
        <v>313.00409999999999</v>
      </c>
      <c r="AB91" s="9">
        <v>0.60699999999999998</v>
      </c>
      <c r="AC91" s="9">
        <v>1028</v>
      </c>
      <c r="AD91" s="9">
        <v>36.799999999999997</v>
      </c>
      <c r="AE91" s="9">
        <v>4</v>
      </c>
      <c r="AF91" s="9">
        <v>13</v>
      </c>
      <c r="AG91" s="9">
        <v>21.8</v>
      </c>
      <c r="AH91" s="9">
        <v>21.8</v>
      </c>
      <c r="AI91" s="9">
        <v>0.7</v>
      </c>
      <c r="AJ91" s="9">
        <v>0.6</v>
      </c>
      <c r="AK91" s="9">
        <v>323.7</v>
      </c>
      <c r="AL91" s="9">
        <v>199.7</v>
      </c>
      <c r="AM91" s="9">
        <v>0.77</v>
      </c>
      <c r="AN91" s="9">
        <v>0.71</v>
      </c>
      <c r="AO91" s="9">
        <v>5.3650000000000002</v>
      </c>
      <c r="AP91" s="9">
        <v>1.992</v>
      </c>
      <c r="AQ91" s="9">
        <v>3.3519999999999999</v>
      </c>
      <c r="AR91" s="9">
        <v>1.012</v>
      </c>
      <c r="AS91" s="9">
        <v>38.850088054474497</v>
      </c>
      <c r="AT91" s="9">
        <v>2.3352984855622268E-2</v>
      </c>
      <c r="AU91" s="9">
        <v>76.712095630200253</v>
      </c>
      <c r="AV91" s="9">
        <v>18.421212324342868</v>
      </c>
      <c r="AW91" s="9">
        <v>54.102393161768347</v>
      </c>
      <c r="AX91" s="9">
        <v>30.559243775024413</v>
      </c>
      <c r="AY91" s="9">
        <f>AVERAGE(AY89:AY90)</f>
        <v>18.011642459234892</v>
      </c>
      <c r="AZ91" s="9">
        <f t="shared" ref="AZ91:BC91" si="62">AVERAGE(AZ89:AZ90)</f>
        <v>1.1238854782911607E-2</v>
      </c>
      <c r="BA91" s="9">
        <f t="shared" si="62"/>
        <v>206.74576303939364</v>
      </c>
      <c r="BB91" s="9">
        <f t="shared" si="62"/>
        <v>3.8949152570831926</v>
      </c>
      <c r="BC91" s="9">
        <f t="shared" si="62"/>
        <v>30.859645900684384</v>
      </c>
      <c r="BD91" s="9">
        <v>25.617270452024414</v>
      </c>
      <c r="BE91" s="9">
        <v>290.9572</v>
      </c>
      <c r="BF91" s="9">
        <v>40.551299999999998</v>
      </c>
      <c r="BG91" s="9">
        <v>127.39570000000001</v>
      </c>
      <c r="BH91" s="9">
        <v>1.3936999999999999</v>
      </c>
      <c r="BI91" s="9">
        <v>290.9572</v>
      </c>
      <c r="BJ91" s="9">
        <v>4.4390000000000001</v>
      </c>
      <c r="BK91" s="9">
        <v>692</v>
      </c>
      <c r="BL91" s="9">
        <v>64.099999999999994</v>
      </c>
      <c r="BM91" s="9">
        <v>9</v>
      </c>
      <c r="BN91" s="9">
        <v>34</v>
      </c>
      <c r="BO91" s="9">
        <v>18.600000000000001</v>
      </c>
      <c r="BP91" s="9">
        <v>23</v>
      </c>
      <c r="BQ91" s="9">
        <v>0.7</v>
      </c>
      <c r="BR91" s="9">
        <v>0.6</v>
      </c>
      <c r="BS91" s="9">
        <v>246.57672602680049</v>
      </c>
      <c r="BT91" s="9">
        <v>225.2843066332689</v>
      </c>
      <c r="BU91" s="9">
        <v>0.77</v>
      </c>
      <c r="BV91" s="9">
        <v>0.69</v>
      </c>
      <c r="BW91" s="9">
        <v>33.164999999999999</v>
      </c>
      <c r="BX91" s="9">
        <v>29.073</v>
      </c>
      <c r="BY91" s="9">
        <v>15.612</v>
      </c>
      <c r="BZ91" s="9">
        <v>10.516999999999999</v>
      </c>
      <c r="CA91" s="9">
        <v>25.790635172349653</v>
      </c>
      <c r="CB91" s="9">
        <v>5.5941299791846387E-2</v>
      </c>
      <c r="CC91" s="9">
        <v>317.15548079706849</v>
      </c>
      <c r="CD91" s="9">
        <v>11.020715798287444</v>
      </c>
      <c r="CE91" s="9">
        <v>17.184172229726681</v>
      </c>
      <c r="CF91" s="9">
        <v>31.310670452024414</v>
      </c>
      <c r="CG91" s="9">
        <v>17.781203379176109</v>
      </c>
      <c r="CH91" s="9">
        <v>4.8589635740612369E-2</v>
      </c>
      <c r="CI91" s="9">
        <v>317.864833904183</v>
      </c>
      <c r="CJ91" s="9">
        <v>10.24388069616775</v>
      </c>
      <c r="CK91" s="9">
        <v>18.2546744094576</v>
      </c>
      <c r="CL91" s="9">
        <v>27.140274227048828</v>
      </c>
      <c r="CM91" s="9">
        <v>995.40210000000002</v>
      </c>
      <c r="CN91" s="11">
        <f>AVERAGE(CN89:CN90)</f>
        <v>119.58794999999999</v>
      </c>
      <c r="CO91" s="9">
        <f>AVERAGE(CO89:CO90)</f>
        <v>258.27690000000001</v>
      </c>
      <c r="CP91" s="9">
        <v>1.6987000000000001</v>
      </c>
      <c r="CQ91" s="9">
        <v>995.40210000000002</v>
      </c>
      <c r="CR91" s="9">
        <v>22.558</v>
      </c>
      <c r="CS91" s="9">
        <f>AVERAGE(CS89:CS90)</f>
        <v>2982.5</v>
      </c>
      <c r="CT91" s="9">
        <v>12</v>
      </c>
      <c r="CU91" s="9">
        <v>0.9</v>
      </c>
      <c r="CV91" s="9">
        <v>256.96774120462396</v>
      </c>
      <c r="CW91" s="9">
        <v>0.84</v>
      </c>
      <c r="CX91" s="9">
        <v>26.055240143387017</v>
      </c>
      <c r="CY91" s="9">
        <v>0.74767825187599002</v>
      </c>
      <c r="CZ91" s="9">
        <v>352.91612709734579</v>
      </c>
      <c r="DA91" s="9">
        <v>18.236870457257634</v>
      </c>
      <c r="DB91" s="9">
        <v>2.6575638426080683</v>
      </c>
      <c r="DC91" s="9">
        <v>36.900138854980469</v>
      </c>
      <c r="DD91" s="9">
        <v>87</v>
      </c>
      <c r="DE91" s="9">
        <v>93</v>
      </c>
      <c r="DF91" s="9">
        <v>124</v>
      </c>
      <c r="DG91" s="9">
        <v>71</v>
      </c>
      <c r="DH91" s="9">
        <v>8</v>
      </c>
      <c r="DI91" s="9">
        <v>6</v>
      </c>
      <c r="DJ91" s="9">
        <v>49.52</v>
      </c>
      <c r="DK91" s="9">
        <v>28.52</v>
      </c>
      <c r="DL91" s="9">
        <v>12.9</v>
      </c>
      <c r="DM91" s="9">
        <v>15.4</v>
      </c>
      <c r="DN91" s="9">
        <f t="shared" si="43"/>
        <v>15.62</v>
      </c>
      <c r="DO91" s="9">
        <f t="shared" si="44"/>
        <v>0.45231416549789621</v>
      </c>
    </row>
    <row r="92" spans="1:119" x14ac:dyDescent="0.25">
      <c r="CR92" s="9"/>
    </row>
  </sheetData>
  <autoFilter ref="A1:DO91" xr:uid="{EB0E2C98-D2A7-47B1-80DD-D59ECE8B589F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6E58-BC54-4260-96C3-48BCFDB4757A}">
  <dimension ref="A2:HH51"/>
  <sheetViews>
    <sheetView topLeftCell="FI1" zoomScale="55" zoomScaleNormal="55" workbookViewId="0">
      <selection activeCell="GV17" sqref="GV17"/>
    </sheetView>
  </sheetViews>
  <sheetFormatPr defaultRowHeight="15.75" x14ac:dyDescent="0.25"/>
  <cols>
    <col min="2" max="3" width="28.140625" style="1" customWidth="1"/>
    <col min="4" max="4" width="28.140625" style="3" customWidth="1"/>
    <col min="5" max="6" width="14.140625" customWidth="1"/>
    <col min="29" max="30" width="28.140625" style="1" customWidth="1"/>
    <col min="31" max="31" width="28.140625" style="3" customWidth="1"/>
    <col min="178" max="178" width="13.85546875" customWidth="1"/>
    <col min="179" max="179" width="13.42578125" customWidth="1"/>
    <col min="180" max="180" width="13.7109375" customWidth="1"/>
    <col min="205" max="205" width="7.28515625" customWidth="1"/>
    <col min="210" max="212" width="7.5703125" customWidth="1"/>
    <col min="213" max="213" width="7" customWidth="1"/>
  </cols>
  <sheetData>
    <row r="2" spans="1:216" x14ac:dyDescent="0.25"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12</v>
      </c>
      <c r="M2">
        <v>14</v>
      </c>
      <c r="N2">
        <v>13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F2">
        <v>1</v>
      </c>
      <c r="AG2">
        <v>2</v>
      </c>
      <c r="AH2">
        <v>3</v>
      </c>
      <c r="AI2">
        <v>4</v>
      </c>
      <c r="AJ2">
        <v>6</v>
      </c>
      <c r="AK2">
        <v>5</v>
      </c>
      <c r="AL2">
        <v>7</v>
      </c>
      <c r="AM2">
        <v>8</v>
      </c>
      <c r="AN2">
        <v>9</v>
      </c>
      <c r="AO2">
        <v>10</v>
      </c>
      <c r="AP2">
        <v>11</v>
      </c>
      <c r="AQ2">
        <v>12</v>
      </c>
      <c r="AR2">
        <v>13</v>
      </c>
      <c r="AS2">
        <v>14</v>
      </c>
      <c r="AT2">
        <v>15</v>
      </c>
      <c r="AU2">
        <v>1</v>
      </c>
      <c r="AV2">
        <v>2</v>
      </c>
      <c r="AW2">
        <v>3</v>
      </c>
      <c r="AX2">
        <v>4</v>
      </c>
      <c r="AY2">
        <v>6</v>
      </c>
      <c r="AZ2">
        <v>5</v>
      </c>
      <c r="BA2">
        <v>7</v>
      </c>
      <c r="BB2">
        <v>8</v>
      </c>
      <c r="BC2">
        <v>9</v>
      </c>
      <c r="BD2">
        <v>10</v>
      </c>
      <c r="BE2">
        <v>11</v>
      </c>
      <c r="BF2">
        <v>12</v>
      </c>
      <c r="BG2">
        <v>13</v>
      </c>
      <c r="BH2">
        <v>14</v>
      </c>
      <c r="BI2">
        <v>15</v>
      </c>
      <c r="BJ2">
        <v>16</v>
      </c>
      <c r="BK2">
        <v>17</v>
      </c>
      <c r="BL2">
        <v>18</v>
      </c>
      <c r="BM2">
        <v>19</v>
      </c>
      <c r="BN2">
        <v>20</v>
      </c>
      <c r="BO2">
        <v>21</v>
      </c>
      <c r="BP2">
        <v>16</v>
      </c>
      <c r="BQ2">
        <v>17</v>
      </c>
      <c r="BR2">
        <v>18</v>
      </c>
      <c r="BS2">
        <v>19</v>
      </c>
      <c r="BT2">
        <v>20</v>
      </c>
      <c r="BU2">
        <v>21</v>
      </c>
      <c r="BV2">
        <v>16</v>
      </c>
      <c r="BW2">
        <v>17</v>
      </c>
      <c r="BX2">
        <v>18</v>
      </c>
      <c r="BY2">
        <v>19</v>
      </c>
      <c r="BZ2">
        <v>20</v>
      </c>
      <c r="CA2">
        <v>21</v>
      </c>
      <c r="CB2">
        <v>16</v>
      </c>
      <c r="CC2">
        <v>17</v>
      </c>
      <c r="CD2">
        <v>18</v>
      </c>
      <c r="CE2">
        <v>19</v>
      </c>
      <c r="CF2">
        <v>20</v>
      </c>
      <c r="CG2">
        <v>21</v>
      </c>
      <c r="CH2">
        <v>21</v>
      </c>
      <c r="CI2">
        <v>22</v>
      </c>
      <c r="CJ2">
        <v>23</v>
      </c>
      <c r="CK2">
        <v>24</v>
      </c>
      <c r="CL2">
        <v>25</v>
      </c>
      <c r="CM2">
        <v>26</v>
      </c>
      <c r="CN2">
        <v>27</v>
      </c>
      <c r="CO2">
        <v>21</v>
      </c>
      <c r="CP2">
        <v>22</v>
      </c>
      <c r="CQ2">
        <v>23</v>
      </c>
      <c r="CR2">
        <v>24</v>
      </c>
      <c r="CS2">
        <v>25</v>
      </c>
      <c r="CT2">
        <v>26</v>
      </c>
      <c r="CU2">
        <v>27</v>
      </c>
      <c r="CW2">
        <v>1</v>
      </c>
      <c r="CX2">
        <v>2</v>
      </c>
      <c r="CY2">
        <v>3</v>
      </c>
      <c r="CZ2">
        <v>4</v>
      </c>
      <c r="DA2">
        <v>6</v>
      </c>
      <c r="DB2">
        <v>5</v>
      </c>
      <c r="DC2">
        <v>7</v>
      </c>
      <c r="DD2">
        <v>8</v>
      </c>
      <c r="DE2">
        <v>9</v>
      </c>
      <c r="DF2">
        <v>10</v>
      </c>
      <c r="DG2">
        <v>11</v>
      </c>
      <c r="DH2">
        <v>12</v>
      </c>
      <c r="DI2">
        <v>13</v>
      </c>
      <c r="DJ2">
        <v>14</v>
      </c>
      <c r="DK2">
        <v>15</v>
      </c>
      <c r="DL2">
        <v>1</v>
      </c>
      <c r="DM2">
        <v>2</v>
      </c>
      <c r="DN2">
        <v>3</v>
      </c>
      <c r="DO2">
        <v>4</v>
      </c>
      <c r="DP2">
        <v>6</v>
      </c>
      <c r="DQ2">
        <v>5</v>
      </c>
      <c r="DR2">
        <v>7</v>
      </c>
      <c r="DS2">
        <v>8</v>
      </c>
      <c r="DT2">
        <v>9</v>
      </c>
      <c r="DU2">
        <v>10</v>
      </c>
      <c r="DV2">
        <v>11</v>
      </c>
      <c r="DW2">
        <v>12</v>
      </c>
      <c r="DX2">
        <v>13</v>
      </c>
      <c r="DY2">
        <v>14</v>
      </c>
      <c r="DZ2">
        <v>15</v>
      </c>
      <c r="EB2">
        <v>16</v>
      </c>
      <c r="EC2">
        <v>17</v>
      </c>
      <c r="ED2">
        <v>18</v>
      </c>
      <c r="EE2">
        <v>19</v>
      </c>
      <c r="EF2">
        <v>20</v>
      </c>
      <c r="EG2">
        <v>21</v>
      </c>
      <c r="EH2">
        <v>16</v>
      </c>
      <c r="EI2">
        <v>17</v>
      </c>
      <c r="EJ2">
        <v>18</v>
      </c>
      <c r="EK2">
        <v>19</v>
      </c>
      <c r="EL2">
        <v>20</v>
      </c>
      <c r="EM2">
        <v>21</v>
      </c>
      <c r="EO2">
        <v>16</v>
      </c>
      <c r="EP2">
        <v>17</v>
      </c>
      <c r="EQ2">
        <v>18</v>
      </c>
      <c r="ER2">
        <v>19</v>
      </c>
      <c r="ES2">
        <v>20</v>
      </c>
      <c r="ET2">
        <v>21</v>
      </c>
      <c r="EU2">
        <v>16</v>
      </c>
      <c r="EV2">
        <v>17</v>
      </c>
      <c r="EW2">
        <v>18</v>
      </c>
      <c r="EX2">
        <v>19</v>
      </c>
      <c r="EY2">
        <v>20</v>
      </c>
      <c r="EZ2">
        <v>21</v>
      </c>
      <c r="FB2">
        <v>21</v>
      </c>
      <c r="FC2">
        <v>22</v>
      </c>
      <c r="FD2">
        <v>23</v>
      </c>
      <c r="FE2">
        <v>24</v>
      </c>
      <c r="FF2">
        <v>25</v>
      </c>
      <c r="FG2">
        <v>26</v>
      </c>
      <c r="FH2">
        <v>27</v>
      </c>
      <c r="FI2">
        <v>21</v>
      </c>
      <c r="FJ2">
        <v>22</v>
      </c>
      <c r="FK2">
        <v>23</v>
      </c>
      <c r="FL2">
        <v>24</v>
      </c>
      <c r="FM2">
        <v>25</v>
      </c>
      <c r="FN2">
        <v>26</v>
      </c>
      <c r="FO2">
        <v>27</v>
      </c>
      <c r="FQ2">
        <v>4</v>
      </c>
      <c r="FR2">
        <v>5</v>
      </c>
      <c r="FS2">
        <v>8</v>
      </c>
      <c r="FT2">
        <v>10</v>
      </c>
      <c r="FU2">
        <v>4</v>
      </c>
      <c r="FV2">
        <v>5</v>
      </c>
      <c r="FW2">
        <v>8</v>
      </c>
      <c r="FX2">
        <v>10</v>
      </c>
      <c r="FY2">
        <v>16</v>
      </c>
      <c r="FZ2">
        <v>17</v>
      </c>
      <c r="GA2">
        <v>18</v>
      </c>
      <c r="GB2">
        <v>19</v>
      </c>
      <c r="GC2">
        <v>20</v>
      </c>
      <c r="GD2">
        <v>21</v>
      </c>
      <c r="GF2">
        <v>16</v>
      </c>
      <c r="GG2">
        <v>17</v>
      </c>
      <c r="GH2">
        <v>18</v>
      </c>
      <c r="GI2">
        <v>19</v>
      </c>
      <c r="GJ2">
        <v>20</v>
      </c>
      <c r="GK2">
        <v>21</v>
      </c>
      <c r="GM2">
        <v>29</v>
      </c>
      <c r="GN2">
        <v>30</v>
      </c>
      <c r="GO2">
        <v>31</v>
      </c>
      <c r="GP2">
        <v>29</v>
      </c>
      <c r="GQ2">
        <v>30</v>
      </c>
      <c r="GR2">
        <v>31</v>
      </c>
      <c r="GT2">
        <v>1</v>
      </c>
      <c r="GU2">
        <v>2</v>
      </c>
      <c r="GV2">
        <v>32</v>
      </c>
      <c r="GW2">
        <v>12</v>
      </c>
      <c r="GX2">
        <v>13</v>
      </c>
      <c r="GY2">
        <v>33</v>
      </c>
      <c r="GZ2">
        <v>34</v>
      </c>
      <c r="HB2">
        <v>1</v>
      </c>
      <c r="HC2">
        <v>2</v>
      </c>
      <c r="HD2">
        <v>32</v>
      </c>
      <c r="HE2">
        <v>12</v>
      </c>
      <c r="HF2">
        <v>13</v>
      </c>
      <c r="HG2">
        <v>33</v>
      </c>
      <c r="HH2">
        <v>34</v>
      </c>
    </row>
    <row r="3" spans="1:216" s="2" customFormat="1" x14ac:dyDescent="0.25">
      <c r="B3" s="3" t="s">
        <v>0</v>
      </c>
      <c r="C3" s="3" t="s">
        <v>220</v>
      </c>
      <c r="D3" s="3" t="s">
        <v>221</v>
      </c>
      <c r="E3" s="2" t="s">
        <v>1</v>
      </c>
      <c r="F3" s="2" t="s">
        <v>2</v>
      </c>
      <c r="G3" s="2" t="s">
        <v>3</v>
      </c>
      <c r="H3" s="4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2" t="s">
        <v>22</v>
      </c>
      <c r="AA3" s="2" t="s">
        <v>23</v>
      </c>
      <c r="AB3" s="2" t="s">
        <v>24</v>
      </c>
      <c r="AC3" s="3" t="s">
        <v>0</v>
      </c>
      <c r="AD3" s="3" t="s">
        <v>220</v>
      </c>
      <c r="AE3" s="3" t="s">
        <v>221</v>
      </c>
      <c r="AF3" s="2" t="s">
        <v>25</v>
      </c>
      <c r="AG3" s="2" t="s">
        <v>26</v>
      </c>
      <c r="AH3" s="2" t="s">
        <v>27</v>
      </c>
      <c r="AI3" s="2" t="s">
        <v>28</v>
      </c>
      <c r="AJ3" s="2" t="s">
        <v>29</v>
      </c>
      <c r="AK3" s="2" t="s">
        <v>30</v>
      </c>
      <c r="AL3" s="2" t="s">
        <v>31</v>
      </c>
      <c r="AM3" s="2" t="s">
        <v>32</v>
      </c>
      <c r="AN3" s="2" t="s">
        <v>33</v>
      </c>
      <c r="AO3" s="2" t="s">
        <v>34</v>
      </c>
      <c r="AP3" s="2" t="s">
        <v>35</v>
      </c>
      <c r="AQ3" s="2" t="s">
        <v>36</v>
      </c>
      <c r="AR3" s="2" t="s">
        <v>37</v>
      </c>
      <c r="AS3" s="2" t="s">
        <v>38</v>
      </c>
      <c r="AT3" s="2" t="s">
        <v>39</v>
      </c>
      <c r="AU3" s="2" t="s">
        <v>40</v>
      </c>
      <c r="AV3" s="2" t="s">
        <v>41</v>
      </c>
      <c r="AW3" s="2" t="s">
        <v>42</v>
      </c>
      <c r="AX3" s="2" t="s">
        <v>43</v>
      </c>
      <c r="AY3" s="2" t="s">
        <v>44</v>
      </c>
      <c r="AZ3" s="2" t="s">
        <v>45</v>
      </c>
      <c r="BA3" s="2" t="s">
        <v>46</v>
      </c>
      <c r="BB3" s="2" t="s">
        <v>47</v>
      </c>
      <c r="BC3" s="2" t="s">
        <v>48</v>
      </c>
      <c r="BD3" s="2" t="s">
        <v>49</v>
      </c>
      <c r="BE3" s="2" t="s">
        <v>50</v>
      </c>
      <c r="BF3" s="2" t="s">
        <v>51</v>
      </c>
      <c r="BG3" s="2" t="s">
        <v>52</v>
      </c>
      <c r="BH3" s="2" t="s">
        <v>53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58</v>
      </c>
      <c r="BN3" s="2" t="s">
        <v>59</v>
      </c>
      <c r="BO3" s="2" t="s">
        <v>60</v>
      </c>
      <c r="BP3" s="2" t="s">
        <v>61</v>
      </c>
      <c r="BQ3" s="2" t="s">
        <v>62</v>
      </c>
      <c r="BR3" s="2" t="s">
        <v>63</v>
      </c>
      <c r="BS3" s="2" t="s">
        <v>64</v>
      </c>
      <c r="BT3" s="2" t="s">
        <v>65</v>
      </c>
      <c r="BU3" s="2" t="s">
        <v>66</v>
      </c>
      <c r="BV3" s="2" t="s">
        <v>67</v>
      </c>
      <c r="BW3" s="2" t="s">
        <v>68</v>
      </c>
      <c r="BX3" s="2" t="s">
        <v>69</v>
      </c>
      <c r="BY3" s="2" t="s">
        <v>70</v>
      </c>
      <c r="BZ3" s="2" t="s">
        <v>71</v>
      </c>
      <c r="CA3" s="2" t="s">
        <v>72</v>
      </c>
      <c r="CB3" s="2" t="s">
        <v>73</v>
      </c>
      <c r="CC3" s="2" t="s">
        <v>74</v>
      </c>
      <c r="CD3" s="2" t="s">
        <v>75</v>
      </c>
      <c r="CE3" s="2" t="s">
        <v>76</v>
      </c>
      <c r="CF3" s="2" t="s">
        <v>77</v>
      </c>
      <c r="CG3" s="2" t="s">
        <v>78</v>
      </c>
      <c r="CH3" s="2" t="s">
        <v>79</v>
      </c>
      <c r="CI3" s="2" t="s">
        <v>80</v>
      </c>
      <c r="CJ3" s="2" t="s">
        <v>81</v>
      </c>
      <c r="CK3" s="2" t="s">
        <v>82</v>
      </c>
      <c r="CL3" s="2" t="s">
        <v>83</v>
      </c>
      <c r="CM3" s="2" t="s">
        <v>84</v>
      </c>
      <c r="CN3" s="2" t="s">
        <v>85</v>
      </c>
      <c r="CO3" s="2" t="s">
        <v>86</v>
      </c>
      <c r="CP3" s="2" t="s">
        <v>87</v>
      </c>
      <c r="CQ3" s="2" t="s">
        <v>88</v>
      </c>
      <c r="CR3" s="2" t="s">
        <v>89</v>
      </c>
      <c r="CS3" s="2" t="s">
        <v>90</v>
      </c>
      <c r="CT3" s="2" t="s">
        <v>91</v>
      </c>
      <c r="CU3" s="2" t="s">
        <v>92</v>
      </c>
      <c r="CW3" s="2" t="s">
        <v>93</v>
      </c>
      <c r="CX3" s="2" t="s">
        <v>94</v>
      </c>
      <c r="CY3" s="2" t="s">
        <v>95</v>
      </c>
      <c r="CZ3" s="2" t="s">
        <v>96</v>
      </c>
      <c r="DA3" s="2" t="s">
        <v>97</v>
      </c>
      <c r="DB3" s="2" t="s">
        <v>98</v>
      </c>
      <c r="DC3" s="2" t="s">
        <v>99</v>
      </c>
      <c r="DD3" s="2" t="s">
        <v>100</v>
      </c>
      <c r="DE3" s="2" t="s">
        <v>101</v>
      </c>
      <c r="DF3" s="2" t="s">
        <v>102</v>
      </c>
      <c r="DG3" s="2" t="s">
        <v>103</v>
      </c>
      <c r="DH3" s="2" t="s">
        <v>104</v>
      </c>
      <c r="DI3" s="2" t="s">
        <v>105</v>
      </c>
      <c r="DJ3" s="2" t="s">
        <v>106</v>
      </c>
      <c r="DK3" s="2" t="s">
        <v>107</v>
      </c>
      <c r="DL3" s="2" t="s">
        <v>108</v>
      </c>
      <c r="DM3" s="2" t="s">
        <v>109</v>
      </c>
      <c r="DN3" s="2" t="s">
        <v>110</v>
      </c>
      <c r="DO3" s="2" t="s">
        <v>111</v>
      </c>
      <c r="DP3" s="2" t="s">
        <v>112</v>
      </c>
      <c r="DQ3" s="2" t="s">
        <v>113</v>
      </c>
      <c r="DR3" s="2" t="s">
        <v>114</v>
      </c>
      <c r="DS3" s="2" t="s">
        <v>115</v>
      </c>
      <c r="DT3" s="2" t="s">
        <v>116</v>
      </c>
      <c r="DU3" s="2" t="s">
        <v>117</v>
      </c>
      <c r="DV3" s="2" t="s">
        <v>118</v>
      </c>
      <c r="DW3" s="2" t="s">
        <v>119</v>
      </c>
      <c r="DX3" s="2" t="s">
        <v>120</v>
      </c>
      <c r="DY3" s="2" t="s">
        <v>121</v>
      </c>
      <c r="DZ3" s="2" t="s">
        <v>122</v>
      </c>
      <c r="EB3" s="5" t="s">
        <v>123</v>
      </c>
      <c r="EC3" s="5" t="s">
        <v>124</v>
      </c>
      <c r="ED3" s="5" t="s">
        <v>125</v>
      </c>
      <c r="EE3" s="5" t="s">
        <v>126</v>
      </c>
      <c r="EF3" s="5" t="s">
        <v>127</v>
      </c>
      <c r="EG3" s="5" t="s">
        <v>128</v>
      </c>
      <c r="EH3" s="4" t="s">
        <v>129</v>
      </c>
      <c r="EI3" s="4" t="s">
        <v>130</v>
      </c>
      <c r="EJ3" s="4" t="s">
        <v>131</v>
      </c>
      <c r="EK3" s="4" t="s">
        <v>132</v>
      </c>
      <c r="EL3" s="4" t="s">
        <v>133</v>
      </c>
      <c r="EM3" s="4" t="s">
        <v>134</v>
      </c>
      <c r="EN3" s="4"/>
      <c r="EO3" s="5" t="s">
        <v>135</v>
      </c>
      <c r="EP3" s="5" t="s">
        <v>136</v>
      </c>
      <c r="EQ3" s="5" t="s">
        <v>137</v>
      </c>
      <c r="ER3" s="5" t="s">
        <v>138</v>
      </c>
      <c r="ES3" s="5" t="s">
        <v>139</v>
      </c>
      <c r="ET3" s="5" t="s">
        <v>140</v>
      </c>
      <c r="EU3" s="4" t="s">
        <v>141</v>
      </c>
      <c r="EV3" s="4" t="s">
        <v>142</v>
      </c>
      <c r="EW3" s="4" t="s">
        <v>143</v>
      </c>
      <c r="EX3" s="4" t="s">
        <v>144</v>
      </c>
      <c r="EY3" s="4" t="s">
        <v>145</v>
      </c>
      <c r="EZ3" s="4" t="s">
        <v>146</v>
      </c>
      <c r="FA3" s="4"/>
      <c r="FB3" s="2" t="s">
        <v>147</v>
      </c>
      <c r="FC3" s="2" t="s">
        <v>148</v>
      </c>
      <c r="FD3" s="2" t="s">
        <v>149</v>
      </c>
      <c r="FE3" s="2" t="s">
        <v>150</v>
      </c>
      <c r="FF3" s="2" t="s">
        <v>151</v>
      </c>
      <c r="FG3" s="2" t="s">
        <v>152</v>
      </c>
      <c r="FH3" s="2" t="s">
        <v>153</v>
      </c>
      <c r="FI3" s="2" t="s">
        <v>154</v>
      </c>
      <c r="FJ3" s="2" t="s">
        <v>155</v>
      </c>
      <c r="FK3" s="2" t="s">
        <v>156</v>
      </c>
      <c r="FL3" s="2" t="s">
        <v>157</v>
      </c>
      <c r="FM3" s="2" t="s">
        <v>158</v>
      </c>
      <c r="FN3" s="2" t="s">
        <v>159</v>
      </c>
      <c r="FO3" s="2" t="s">
        <v>160</v>
      </c>
      <c r="FQ3" s="2" t="s">
        <v>161</v>
      </c>
      <c r="FR3" s="2" t="s">
        <v>162</v>
      </c>
      <c r="FS3" s="2" t="s">
        <v>163</v>
      </c>
      <c r="FT3" s="2" t="s">
        <v>164</v>
      </c>
      <c r="FU3" s="2" t="s">
        <v>165</v>
      </c>
      <c r="FV3" s="2" t="s">
        <v>166</v>
      </c>
      <c r="FW3" s="2" t="s">
        <v>167</v>
      </c>
      <c r="FX3" s="2" t="s">
        <v>168</v>
      </c>
      <c r="FY3" s="5" t="s">
        <v>169</v>
      </c>
      <c r="FZ3" s="5" t="s">
        <v>170</v>
      </c>
      <c r="GA3" s="5" t="s">
        <v>171</v>
      </c>
      <c r="GB3" s="5" t="s">
        <v>172</v>
      </c>
      <c r="GC3" s="5" t="s">
        <v>173</v>
      </c>
      <c r="GD3" s="5" t="s">
        <v>174</v>
      </c>
      <c r="GE3" s="5"/>
      <c r="GF3" s="5" t="s">
        <v>175</v>
      </c>
      <c r="GG3" s="5" t="s">
        <v>176</v>
      </c>
      <c r="GH3" s="5" t="s">
        <v>177</v>
      </c>
      <c r="GI3" s="5" t="s">
        <v>178</v>
      </c>
      <c r="GJ3" s="5" t="s">
        <v>179</v>
      </c>
      <c r="GK3" s="5" t="s">
        <v>180</v>
      </c>
      <c r="GL3" s="5"/>
      <c r="GM3" s="4" t="s">
        <v>181</v>
      </c>
      <c r="GN3" s="4" t="s">
        <v>182</v>
      </c>
      <c r="GO3" s="4" t="s">
        <v>183</v>
      </c>
      <c r="GP3" s="4" t="s">
        <v>184</v>
      </c>
      <c r="GQ3" s="4" t="s">
        <v>185</v>
      </c>
      <c r="GR3" s="4" t="s">
        <v>186</v>
      </c>
      <c r="GS3" s="4"/>
      <c r="GT3" s="4" t="s">
        <v>187</v>
      </c>
      <c r="GU3" s="4" t="s">
        <v>188</v>
      </c>
      <c r="GV3" s="4" t="s">
        <v>189</v>
      </c>
      <c r="GW3" s="4" t="s">
        <v>190</v>
      </c>
      <c r="GX3" s="4" t="s">
        <v>191</v>
      </c>
      <c r="GY3" s="4" t="s">
        <v>192</v>
      </c>
      <c r="GZ3" s="4" t="s">
        <v>193</v>
      </c>
      <c r="HA3" s="4"/>
      <c r="HB3" s="4" t="s">
        <v>194</v>
      </c>
      <c r="HC3" s="4" t="s">
        <v>195</v>
      </c>
      <c r="HD3" s="4" t="s">
        <v>196</v>
      </c>
      <c r="HE3" s="4" t="s">
        <v>197</v>
      </c>
      <c r="HF3" s="4" t="s">
        <v>198</v>
      </c>
      <c r="HG3" s="4" t="s">
        <v>199</v>
      </c>
      <c r="HH3" s="4" t="s">
        <v>200</v>
      </c>
    </row>
    <row r="4" spans="1:216" x14ac:dyDescent="0.25">
      <c r="A4" t="s">
        <v>201</v>
      </c>
      <c r="B4" s="1" t="s">
        <v>202</v>
      </c>
      <c r="C4" s="3" t="s">
        <v>222</v>
      </c>
      <c r="D4" s="3">
        <v>1</v>
      </c>
      <c r="E4" s="6">
        <v>35.5</v>
      </c>
      <c r="F4" s="6">
        <v>0</v>
      </c>
      <c r="G4" s="6">
        <v>4</v>
      </c>
      <c r="H4">
        <v>22.2</v>
      </c>
      <c r="I4" s="6">
        <v>0.35</v>
      </c>
      <c r="J4" s="6">
        <v>21.8</v>
      </c>
      <c r="K4" s="6">
        <v>0.2</v>
      </c>
      <c r="L4">
        <v>0.42399999999999999</v>
      </c>
      <c r="M4">
        <v>0.215</v>
      </c>
      <c r="N4">
        <v>0.16500000000000001</v>
      </c>
      <c r="O4">
        <v>9.5000000000000001E-2</v>
      </c>
      <c r="P4">
        <v>11.628212597645494</v>
      </c>
      <c r="Q4">
        <v>0.27019949868368509</v>
      </c>
      <c r="R4">
        <v>244.86337763993492</v>
      </c>
      <c r="S4">
        <v>4.529587963959778</v>
      </c>
      <c r="T4">
        <v>1.6651233391861004</v>
      </c>
      <c r="U4">
        <v>29.83372688293457</v>
      </c>
      <c r="V4">
        <v>135.56309999999999</v>
      </c>
      <c r="W4">
        <v>5.8338999999999999</v>
      </c>
      <c r="X4">
        <v>18.3279</v>
      </c>
      <c r="Y4">
        <v>0.43030000000000002</v>
      </c>
      <c r="Z4">
        <v>135.56309999999999</v>
      </c>
      <c r="AA4">
        <v>0.19700000000000001</v>
      </c>
      <c r="AB4">
        <v>595</v>
      </c>
      <c r="AC4" s="1" t="s">
        <v>202</v>
      </c>
      <c r="AD4" s="3" t="s">
        <v>223</v>
      </c>
      <c r="AE4" s="3">
        <v>1</v>
      </c>
      <c r="AF4">
        <v>50.4</v>
      </c>
      <c r="AG4">
        <v>6</v>
      </c>
      <c r="AH4">
        <v>12</v>
      </c>
      <c r="AI4">
        <v>34</v>
      </c>
      <c r="AJ4">
        <v>29.7</v>
      </c>
      <c r="AK4">
        <v>0.8</v>
      </c>
      <c r="AL4">
        <v>0.8</v>
      </c>
      <c r="AM4">
        <v>190.5</v>
      </c>
      <c r="AN4">
        <v>121.6</v>
      </c>
      <c r="AO4">
        <v>0.7</v>
      </c>
      <c r="AP4">
        <v>0.62</v>
      </c>
      <c r="AQ4">
        <v>4.6189999999999998</v>
      </c>
      <c r="AR4">
        <v>1.722</v>
      </c>
      <c r="AS4">
        <v>9.43</v>
      </c>
      <c r="AT4">
        <v>3.28</v>
      </c>
      <c r="AU4">
        <v>59.6</v>
      </c>
      <c r="AV4">
        <v>9</v>
      </c>
      <c r="AW4">
        <v>28</v>
      </c>
      <c r="AX4">
        <v>40.299999999999997</v>
      </c>
      <c r="AY4">
        <v>32.1</v>
      </c>
      <c r="AZ4">
        <v>0.9</v>
      </c>
      <c r="BA4">
        <v>0.6</v>
      </c>
      <c r="BB4">
        <v>345.1</v>
      </c>
      <c r="BC4">
        <v>336.5</v>
      </c>
      <c r="BD4">
        <v>0.85</v>
      </c>
      <c r="BE4">
        <v>0.82</v>
      </c>
      <c r="BF4">
        <v>14.51</v>
      </c>
      <c r="BG4">
        <v>6.782</v>
      </c>
      <c r="BH4">
        <v>5.101</v>
      </c>
      <c r="BI4">
        <v>1.657</v>
      </c>
      <c r="BJ4">
        <v>12.251842910783235</v>
      </c>
      <c r="BK4">
        <v>2.0989383045972122E-2</v>
      </c>
      <c r="BL4">
        <v>290.96112217714449</v>
      </c>
      <c r="BM4">
        <v>4.6895894230082922</v>
      </c>
      <c r="BN4">
        <v>19.381871859803759</v>
      </c>
      <c r="BO4">
        <v>62.422061920166001</v>
      </c>
      <c r="BP4">
        <v>5.0208429613415584</v>
      </c>
      <c r="BQ4">
        <v>1.687396473455402E-2</v>
      </c>
      <c r="BR4">
        <v>290.41293013629758</v>
      </c>
      <c r="BS4">
        <v>3.9126851634666213</v>
      </c>
      <c r="BT4">
        <v>20.659778916185939</v>
      </c>
      <c r="BU4">
        <v>63.273533503214516</v>
      </c>
      <c r="BV4">
        <v>21.52896778908076</v>
      </c>
      <c r="BW4">
        <v>3.2787788830167072E-2</v>
      </c>
      <c r="BX4">
        <v>319.14808934924832</v>
      </c>
      <c r="BY4">
        <v>5.3672780271293394</v>
      </c>
      <c r="BZ4">
        <v>14.417508130422243</v>
      </c>
      <c r="CA4">
        <v>57.083243560791018</v>
      </c>
      <c r="CB4">
        <v>15.937732216053183</v>
      </c>
      <c r="CC4">
        <v>3.0223784243358344E-2</v>
      </c>
      <c r="CD4">
        <v>318.95249301498461</v>
      </c>
      <c r="CE4">
        <v>5.1721378356534293</v>
      </c>
      <c r="CF4">
        <v>15.007892646466942</v>
      </c>
      <c r="CG4">
        <v>57.781882476806643</v>
      </c>
      <c r="CH4">
        <v>765.78620000000001</v>
      </c>
      <c r="CI4">
        <v>98.127200000000002</v>
      </c>
      <c r="CJ4">
        <v>308.2758</v>
      </c>
      <c r="CK4">
        <v>1.2814000000000001</v>
      </c>
      <c r="CL4">
        <v>765.78620000000001</v>
      </c>
      <c r="CM4">
        <v>9.8759999999999994</v>
      </c>
      <c r="CN4">
        <v>2705</v>
      </c>
      <c r="CO4">
        <v>650.19400000000007</v>
      </c>
      <c r="CP4">
        <v>74.909166666666678</v>
      </c>
      <c r="CQ4">
        <v>235.33410000000001</v>
      </c>
      <c r="CR4">
        <v>1.1274333333333333</v>
      </c>
      <c r="CS4">
        <v>650.19400000000007</v>
      </c>
      <c r="CT4">
        <v>6.8599999999999994</v>
      </c>
      <c r="CU4">
        <v>2427.3333333333335</v>
      </c>
      <c r="CW4">
        <v>85.6</v>
      </c>
      <c r="CX4">
        <v>9</v>
      </c>
      <c r="CY4">
        <v>32</v>
      </c>
      <c r="CZ4">
        <v>23.5</v>
      </c>
      <c r="DA4">
        <v>32.700000000000003</v>
      </c>
      <c r="DB4">
        <v>1</v>
      </c>
      <c r="DC4">
        <v>1</v>
      </c>
      <c r="DD4">
        <v>253.52188527721665</v>
      </c>
      <c r="DE4">
        <v>59.02710582420913</v>
      </c>
      <c r="DF4">
        <v>0.75</v>
      </c>
      <c r="DG4">
        <v>0.71</v>
      </c>
      <c r="DH4">
        <v>40.697000000000003</v>
      </c>
      <c r="DI4">
        <v>25.611999999999998</v>
      </c>
      <c r="DJ4">
        <v>12.345000000000001</v>
      </c>
      <c r="DK4">
        <v>9.1639999999999997</v>
      </c>
      <c r="DL4">
        <v>70.099999999999994</v>
      </c>
      <c r="DM4">
        <v>15</v>
      </c>
      <c r="DN4">
        <v>42</v>
      </c>
      <c r="DO4">
        <v>39.5</v>
      </c>
      <c r="DP4">
        <v>36.5</v>
      </c>
      <c r="DQ4">
        <v>1</v>
      </c>
      <c r="DR4">
        <v>1</v>
      </c>
      <c r="DS4">
        <v>365.63375122899635</v>
      </c>
      <c r="DT4">
        <v>352.04820989760907</v>
      </c>
      <c r="DU4">
        <v>0.84</v>
      </c>
      <c r="DV4">
        <v>0.83</v>
      </c>
      <c r="DW4">
        <v>40.923999999999999</v>
      </c>
      <c r="DX4">
        <v>35.670999999999999</v>
      </c>
      <c r="DY4">
        <v>18.417000000000002</v>
      </c>
      <c r="DZ4">
        <v>13.164999999999999</v>
      </c>
      <c r="EB4">
        <v>21.52896778908076</v>
      </c>
      <c r="EC4">
        <v>3.2787788830167072E-2</v>
      </c>
      <c r="ED4">
        <v>319.14808934924832</v>
      </c>
      <c r="EE4">
        <v>5.3672780271293394</v>
      </c>
      <c r="EF4">
        <v>14.417508130422243</v>
      </c>
      <c r="EG4">
        <v>57.083243560791018</v>
      </c>
      <c r="EH4">
        <v>15.937732216053183</v>
      </c>
      <c r="EI4">
        <v>3.0223784243358344E-2</v>
      </c>
      <c r="EJ4">
        <v>318.95249301498461</v>
      </c>
      <c r="EK4">
        <v>5.1721378356534293</v>
      </c>
      <c r="EL4">
        <v>15.007892646466942</v>
      </c>
      <c r="EM4">
        <v>57.781882476806643</v>
      </c>
      <c r="EO4">
        <v>24.86641941923947</v>
      </c>
      <c r="EP4">
        <v>0.34470695949812241</v>
      </c>
      <c r="EQ4">
        <v>379.90992246391386</v>
      </c>
      <c r="ER4">
        <v>12.373248177246086</v>
      </c>
      <c r="ES4">
        <v>3.5963923143370926</v>
      </c>
      <c r="ET4">
        <v>38.794967651367188</v>
      </c>
      <c r="EU4">
        <v>13.315780024836076</v>
      </c>
      <c r="EV4">
        <v>0.12688979459878008</v>
      </c>
      <c r="EW4">
        <v>391.9995785709981</v>
      </c>
      <c r="EX4">
        <v>5.7334177287743806</v>
      </c>
      <c r="EY4">
        <v>4.3174561372888318</v>
      </c>
      <c r="EZ4">
        <v>39.884026336669919</v>
      </c>
      <c r="FB4">
        <v>464.43790000000001</v>
      </c>
      <c r="FC4">
        <v>176.34119999999999</v>
      </c>
      <c r="FD4">
        <v>553.9923</v>
      </c>
      <c r="FE4">
        <v>3.7968999999999999</v>
      </c>
      <c r="FF4">
        <v>464.43790000000001</v>
      </c>
      <c r="FG4">
        <v>52.585999999999999</v>
      </c>
      <c r="FH4">
        <v>2527</v>
      </c>
      <c r="FI4">
        <v>776.32479999999998</v>
      </c>
      <c r="FJ4">
        <v>130.09440000000001</v>
      </c>
      <c r="FK4">
        <v>408.70359999999999</v>
      </c>
      <c r="FL4">
        <v>1.6758</v>
      </c>
      <c r="FM4">
        <v>776.32479999999998</v>
      </c>
      <c r="FN4">
        <v>17.122</v>
      </c>
      <c r="FO4">
        <v>2065</v>
      </c>
      <c r="FQ4">
        <v>17</v>
      </c>
      <c r="FR4">
        <v>1</v>
      </c>
      <c r="FS4">
        <v>301.92235798341517</v>
      </c>
      <c r="FT4">
        <v>0.82</v>
      </c>
      <c r="FU4">
        <v>29.1</v>
      </c>
      <c r="FV4">
        <v>1.1000000000000001</v>
      </c>
      <c r="FW4">
        <v>356.59962632674217</v>
      </c>
      <c r="FX4">
        <v>0.83</v>
      </c>
      <c r="FY4">
        <v>25.829177203690925</v>
      </c>
      <c r="FZ4">
        <v>0.36024665728197736</v>
      </c>
      <c r="GA4">
        <v>302.15235163628904</v>
      </c>
      <c r="GB4">
        <v>10.402169825185497</v>
      </c>
      <c r="GC4">
        <v>2.9406057812933462</v>
      </c>
      <c r="GD4">
        <v>37.496994018554688</v>
      </c>
      <c r="GF4">
        <v>20.048528166237293</v>
      </c>
      <c r="GG4">
        <v>0.3195239050801707</v>
      </c>
      <c r="GH4">
        <v>299.68221637936585</v>
      </c>
      <c r="GI4">
        <v>13.09765348638444</v>
      </c>
      <c r="GJ4">
        <v>4.0722914313838343</v>
      </c>
      <c r="GK4">
        <v>40.810127258300781</v>
      </c>
      <c r="GM4">
        <v>82</v>
      </c>
      <c r="GN4">
        <v>87</v>
      </c>
      <c r="GO4">
        <v>118</v>
      </c>
      <c r="GP4">
        <v>85</v>
      </c>
      <c r="GQ4">
        <v>90</v>
      </c>
      <c r="GR4">
        <v>121</v>
      </c>
      <c r="GT4">
        <v>103</v>
      </c>
      <c r="GU4">
        <v>18</v>
      </c>
      <c r="GV4">
        <v>12</v>
      </c>
      <c r="GW4">
        <v>48.59</v>
      </c>
      <c r="GX4">
        <v>32.094999999999999</v>
      </c>
      <c r="GY4">
        <v>17.52</v>
      </c>
      <c r="GZ4">
        <v>19.45</v>
      </c>
      <c r="HB4">
        <v>104</v>
      </c>
      <c r="HC4">
        <v>4</v>
      </c>
      <c r="HD4">
        <v>3</v>
      </c>
      <c r="HE4">
        <v>47.21</v>
      </c>
      <c r="HF4">
        <v>24.65</v>
      </c>
      <c r="HG4">
        <v>7.11</v>
      </c>
      <c r="HH4">
        <v>15.112</v>
      </c>
    </row>
    <row r="5" spans="1:216" x14ac:dyDescent="0.25">
      <c r="B5" s="1" t="s">
        <v>202</v>
      </c>
      <c r="C5" s="3" t="s">
        <v>222</v>
      </c>
      <c r="D5" s="3">
        <v>2</v>
      </c>
      <c r="E5" s="6">
        <v>35.5</v>
      </c>
      <c r="F5" s="6">
        <v>0</v>
      </c>
      <c r="G5" s="6">
        <v>3</v>
      </c>
      <c r="H5" s="7">
        <v>22.2</v>
      </c>
      <c r="I5" s="6">
        <v>0.35</v>
      </c>
      <c r="J5" s="6">
        <v>15.3</v>
      </c>
      <c r="K5" s="6">
        <v>0.1</v>
      </c>
      <c r="L5">
        <v>0.26600000000000001</v>
      </c>
      <c r="M5">
        <v>0.11600000000000001</v>
      </c>
      <c r="N5">
        <v>7.5999999999999998E-2</v>
      </c>
      <c r="O5">
        <v>4.2000000000000003E-2</v>
      </c>
      <c r="P5">
        <v>12.108297223379594</v>
      </c>
      <c r="Q5">
        <v>0.27583184961574531</v>
      </c>
      <c r="R5">
        <v>243.26840046819524</v>
      </c>
      <c r="S5">
        <v>4.6019792964589339</v>
      </c>
      <c r="T5">
        <v>1.6590341282681202</v>
      </c>
      <c r="U5">
        <v>29.816787719726563</v>
      </c>
      <c r="V5">
        <v>80.646799999999999</v>
      </c>
      <c r="W5">
        <v>3.7145000000000001</v>
      </c>
      <c r="X5">
        <v>11.6693</v>
      </c>
      <c r="Y5">
        <v>0.46060000000000001</v>
      </c>
      <c r="Z5">
        <v>80.646799999999999</v>
      </c>
      <c r="AA5">
        <v>0.13400000000000001</v>
      </c>
      <c r="AB5">
        <v>268</v>
      </c>
      <c r="AC5" s="1" t="s">
        <v>202</v>
      </c>
      <c r="AD5" s="3" t="s">
        <v>223</v>
      </c>
      <c r="AE5" s="3">
        <v>2</v>
      </c>
      <c r="AF5">
        <v>50.1</v>
      </c>
      <c r="AG5">
        <v>6</v>
      </c>
      <c r="AH5">
        <v>15</v>
      </c>
      <c r="AI5">
        <v>33.700000000000003</v>
      </c>
      <c r="AJ5">
        <v>30.8</v>
      </c>
      <c r="AK5">
        <v>1</v>
      </c>
      <c r="AL5">
        <v>0.8</v>
      </c>
      <c r="AM5">
        <v>175.1</v>
      </c>
      <c r="AN5">
        <v>142.1</v>
      </c>
      <c r="AO5">
        <v>0.71</v>
      </c>
      <c r="AP5">
        <v>0.62</v>
      </c>
      <c r="AQ5">
        <v>5.5129999999999999</v>
      </c>
      <c r="AR5">
        <v>1.5680000000000001</v>
      </c>
      <c r="AS5">
        <v>8.4600000000000009</v>
      </c>
      <c r="AT5">
        <v>2.57</v>
      </c>
      <c r="AU5">
        <v>66.5</v>
      </c>
      <c r="AV5">
        <v>9</v>
      </c>
      <c r="AW5">
        <v>27</v>
      </c>
      <c r="AX5">
        <v>44.5</v>
      </c>
      <c r="AY5">
        <v>25.4</v>
      </c>
      <c r="AZ5">
        <v>1.1000000000000001</v>
      </c>
      <c r="BA5">
        <v>0.8</v>
      </c>
      <c r="BB5">
        <v>333.9</v>
      </c>
      <c r="BC5">
        <v>314.8</v>
      </c>
      <c r="BD5">
        <v>0.85</v>
      </c>
      <c r="BE5">
        <v>0.83</v>
      </c>
      <c r="BF5">
        <v>16.170000000000002</v>
      </c>
      <c r="BG5">
        <v>7.3209999999999997</v>
      </c>
      <c r="BH5">
        <v>4.234</v>
      </c>
      <c r="BI5">
        <v>1.986</v>
      </c>
      <c r="BJ5">
        <v>15.839296018373158</v>
      </c>
      <c r="BK5">
        <v>2.8537493512916467E-2</v>
      </c>
      <c r="BL5">
        <v>286.98348283608186</v>
      </c>
      <c r="BM5">
        <v>5.9728756635498694</v>
      </c>
      <c r="BN5">
        <v>19.058474032050277</v>
      </c>
      <c r="BO5">
        <v>61.878430938720705</v>
      </c>
      <c r="BP5">
        <v>9.388102533903993</v>
      </c>
      <c r="BQ5">
        <v>1.464367523985673E-2</v>
      </c>
      <c r="BR5">
        <v>295.41805967100692</v>
      </c>
      <c r="BS5">
        <v>3.1675842894590338</v>
      </c>
      <c r="BT5">
        <v>18.775465626242333</v>
      </c>
      <c r="BU5">
        <v>61.729357910156253</v>
      </c>
      <c r="BV5">
        <v>19.464446674584568</v>
      </c>
      <c r="BW5">
        <v>4.7373444800068006E-2</v>
      </c>
      <c r="BX5">
        <v>308.82784073352269</v>
      </c>
      <c r="BY5">
        <v>8.3539499603147753</v>
      </c>
      <c r="BZ5">
        <v>15.455362613612209</v>
      </c>
      <c r="CA5">
        <v>58.527524566650392</v>
      </c>
      <c r="CB5">
        <v>19.46272025977148</v>
      </c>
      <c r="CC5">
        <v>5.0336719396068208E-2</v>
      </c>
      <c r="CD5">
        <v>303.77264338598525</v>
      </c>
      <c r="CE5">
        <v>9.2295258057209288</v>
      </c>
      <c r="CF5">
        <v>16.017980065071544</v>
      </c>
      <c r="CG5">
        <v>59.224612426757815</v>
      </c>
      <c r="CH5">
        <v>706.35119999999995</v>
      </c>
      <c r="CI5">
        <v>80.853200000000001</v>
      </c>
      <c r="CJ5">
        <v>254.0078</v>
      </c>
      <c r="CK5">
        <v>1.1447000000000001</v>
      </c>
      <c r="CL5">
        <v>706.35119999999995</v>
      </c>
      <c r="CM5">
        <v>7.2690000000000001</v>
      </c>
      <c r="CN5">
        <v>2386</v>
      </c>
      <c r="CO5">
        <v>398.54513333333335</v>
      </c>
      <c r="CP5">
        <v>37.563300000000005</v>
      </c>
      <c r="CQ5">
        <v>118.00856666666668</v>
      </c>
      <c r="CR5">
        <v>0.94146666666666678</v>
      </c>
      <c r="CS5">
        <v>398.54513333333335</v>
      </c>
      <c r="CT5">
        <v>2.7970000000000002</v>
      </c>
      <c r="CU5">
        <v>1547</v>
      </c>
      <c r="CW5">
        <v>67.3</v>
      </c>
      <c r="CX5">
        <v>8</v>
      </c>
      <c r="CY5">
        <v>33</v>
      </c>
      <c r="CZ5">
        <v>28.5</v>
      </c>
      <c r="DA5">
        <v>33.5</v>
      </c>
      <c r="DB5">
        <v>1</v>
      </c>
      <c r="DC5">
        <v>1</v>
      </c>
      <c r="DD5">
        <v>237.79100293805442</v>
      </c>
      <c r="DE5">
        <v>61.71203043097519</v>
      </c>
      <c r="DF5">
        <v>0.75</v>
      </c>
      <c r="DG5">
        <v>0.69</v>
      </c>
      <c r="DH5">
        <v>35.179000000000002</v>
      </c>
      <c r="DI5">
        <v>24.762</v>
      </c>
      <c r="DJ5">
        <v>11.147</v>
      </c>
      <c r="DK5">
        <v>9.952</v>
      </c>
      <c r="DL5">
        <v>85.6</v>
      </c>
      <c r="DM5">
        <v>14</v>
      </c>
      <c r="DN5">
        <v>55</v>
      </c>
      <c r="DO5">
        <v>37.5</v>
      </c>
      <c r="DP5">
        <v>33</v>
      </c>
      <c r="DQ5">
        <v>1</v>
      </c>
      <c r="DR5">
        <v>1</v>
      </c>
      <c r="DS5">
        <v>358.11161672299306</v>
      </c>
      <c r="DT5">
        <v>350.52586190798121</v>
      </c>
      <c r="DU5">
        <v>0.84</v>
      </c>
      <c r="DV5">
        <v>0.83</v>
      </c>
      <c r="DW5">
        <v>45.137</v>
      </c>
      <c r="DX5">
        <v>33.21</v>
      </c>
      <c r="DY5">
        <v>20.815999999999999</v>
      </c>
      <c r="DZ5">
        <v>15.67</v>
      </c>
      <c r="EB5">
        <v>19.464446674584568</v>
      </c>
      <c r="EC5">
        <v>4.7373444800068006E-2</v>
      </c>
      <c r="ED5">
        <v>308.82784073352269</v>
      </c>
      <c r="EE5">
        <v>8.3539499603147753</v>
      </c>
      <c r="EF5">
        <v>15.455362613612209</v>
      </c>
      <c r="EG5">
        <v>58.527524566650392</v>
      </c>
      <c r="EH5">
        <v>19.46272025977148</v>
      </c>
      <c r="EI5">
        <v>5.0336719396068208E-2</v>
      </c>
      <c r="EJ5">
        <v>303.77264338598525</v>
      </c>
      <c r="EK5">
        <v>9.2295258057209288</v>
      </c>
      <c r="EL5">
        <v>16.017980065071544</v>
      </c>
      <c r="EM5">
        <v>59.224612426757815</v>
      </c>
      <c r="EO5">
        <v>22.790315732821746</v>
      </c>
      <c r="EP5">
        <v>0.2616773689439979</v>
      </c>
      <c r="EQ5">
        <v>381.0173966022611</v>
      </c>
      <c r="ER5">
        <v>10.381841448910102</v>
      </c>
      <c r="ES5">
        <v>3.9032247610407453</v>
      </c>
      <c r="ET5">
        <v>39.353834533691405</v>
      </c>
      <c r="EU5">
        <v>13.943921628045379</v>
      </c>
      <c r="EV5">
        <v>0.12750055533796772</v>
      </c>
      <c r="EW5">
        <v>391.59909284576059</v>
      </c>
      <c r="EX5">
        <v>5.6663569005730352</v>
      </c>
      <c r="EY5">
        <v>4.2484040504160898</v>
      </c>
      <c r="EZ5">
        <v>39.71663131713867</v>
      </c>
      <c r="FB5">
        <v>449.23059999999998</v>
      </c>
      <c r="FC5">
        <v>191.8116</v>
      </c>
      <c r="FD5">
        <v>602.59379999999999</v>
      </c>
      <c r="FE5">
        <v>4.2698</v>
      </c>
      <c r="FF5">
        <v>449.23059999999998</v>
      </c>
      <c r="FG5">
        <v>64.323999999999998</v>
      </c>
      <c r="FH5">
        <v>2499</v>
      </c>
      <c r="FI5">
        <v>1085.0997</v>
      </c>
      <c r="FJ5">
        <v>107.55159999999999</v>
      </c>
      <c r="FK5">
        <v>337.88319999999999</v>
      </c>
      <c r="FL5">
        <v>0.99119999999999997</v>
      </c>
      <c r="FM5">
        <v>1085.0997</v>
      </c>
      <c r="FN5">
        <v>8.3719999999999999</v>
      </c>
      <c r="FO5">
        <v>4243</v>
      </c>
      <c r="FQ5">
        <v>11.8</v>
      </c>
      <c r="FR5">
        <v>1</v>
      </c>
      <c r="FS5">
        <v>287.24091285736597</v>
      </c>
      <c r="FT5">
        <v>0.81</v>
      </c>
      <c r="FU5">
        <v>32.700000000000003</v>
      </c>
      <c r="FV5">
        <v>1.1000000000000001</v>
      </c>
      <c r="FW5">
        <v>349.00087837415651</v>
      </c>
      <c r="FX5">
        <v>0.83</v>
      </c>
      <c r="FY5">
        <v>25.866701474799378</v>
      </c>
      <c r="FZ5">
        <v>0.35892299825125451</v>
      </c>
      <c r="GA5">
        <v>301.55704954243129</v>
      </c>
      <c r="GB5">
        <v>10.381154089501587</v>
      </c>
      <c r="GC5">
        <v>2.9445509527194709</v>
      </c>
      <c r="GD5">
        <v>37.505062103271484</v>
      </c>
      <c r="GF5">
        <v>20.113741713253418</v>
      </c>
      <c r="GG5">
        <v>0.31927809073455932</v>
      </c>
      <c r="GH5">
        <v>299.2559166959108</v>
      </c>
      <c r="GI5">
        <v>13.089820759992113</v>
      </c>
      <c r="GJ5">
        <v>4.0727837785590681</v>
      </c>
      <c r="GK5">
        <v>40.810405731201172</v>
      </c>
      <c r="GM5">
        <v>82</v>
      </c>
      <c r="GN5">
        <v>87</v>
      </c>
      <c r="GO5">
        <v>118</v>
      </c>
      <c r="GP5">
        <v>85</v>
      </c>
      <c r="GQ5">
        <v>90</v>
      </c>
      <c r="GR5">
        <v>121</v>
      </c>
      <c r="GT5">
        <v>96</v>
      </c>
      <c r="GU5">
        <v>20</v>
      </c>
      <c r="GV5">
        <v>12</v>
      </c>
      <c r="GW5">
        <v>48.69</v>
      </c>
      <c r="GX5">
        <v>31.995000000000001</v>
      </c>
      <c r="GY5">
        <v>16.12</v>
      </c>
      <c r="GZ5">
        <v>18.25</v>
      </c>
      <c r="HB5">
        <v>89</v>
      </c>
      <c r="HC5">
        <v>4</v>
      </c>
      <c r="HD5">
        <v>3</v>
      </c>
      <c r="HE5">
        <v>44.09</v>
      </c>
      <c r="HF5">
        <v>22.58</v>
      </c>
      <c r="HG5">
        <v>6.43</v>
      </c>
      <c r="HH5">
        <v>14.06</v>
      </c>
    </row>
    <row r="6" spans="1:216" x14ac:dyDescent="0.25">
      <c r="B6" s="1" t="s">
        <v>202</v>
      </c>
      <c r="C6" s="3" t="s">
        <v>222</v>
      </c>
      <c r="D6" s="3">
        <v>3</v>
      </c>
      <c r="E6" s="6">
        <v>35.5</v>
      </c>
      <c r="F6" s="6">
        <v>0</v>
      </c>
      <c r="G6" s="6">
        <v>4</v>
      </c>
      <c r="H6" s="6">
        <v>23</v>
      </c>
      <c r="I6" s="6">
        <v>0.4</v>
      </c>
      <c r="J6" s="6">
        <v>15.3</v>
      </c>
      <c r="K6" s="6">
        <v>0.2</v>
      </c>
      <c r="L6">
        <v>1.054</v>
      </c>
      <c r="M6">
        <v>0.25</v>
      </c>
      <c r="N6">
        <v>0.35399999999999998</v>
      </c>
      <c r="O6">
        <v>9.6000000000000002E-2</v>
      </c>
      <c r="P6">
        <v>12.583523149956656</v>
      </c>
      <c r="Q6">
        <v>0.27927918479331171</v>
      </c>
      <c r="R6">
        <v>241.21958455828707</v>
      </c>
      <c r="S6">
        <v>4.6476931162890844</v>
      </c>
      <c r="T6">
        <v>1.6559540935740653</v>
      </c>
      <c r="U6">
        <v>29.812736511230469</v>
      </c>
      <c r="V6">
        <v>148.1</v>
      </c>
      <c r="W6">
        <v>6.0244</v>
      </c>
      <c r="X6">
        <v>18.926200000000001</v>
      </c>
      <c r="Y6">
        <v>0.40679999999999999</v>
      </c>
      <c r="Z6">
        <v>148.1</v>
      </c>
      <c r="AA6">
        <v>0.192</v>
      </c>
      <c r="AB6">
        <v>771</v>
      </c>
      <c r="AC6" s="1" t="s">
        <v>202</v>
      </c>
      <c r="AD6" s="3" t="s">
        <v>223</v>
      </c>
      <c r="AE6" s="3">
        <v>3</v>
      </c>
      <c r="AF6">
        <v>45.8</v>
      </c>
      <c r="AG6">
        <v>3</v>
      </c>
      <c r="AH6">
        <v>5</v>
      </c>
      <c r="AI6">
        <v>29.8</v>
      </c>
      <c r="AJ6">
        <v>12.2</v>
      </c>
      <c r="AK6">
        <v>1</v>
      </c>
      <c r="AL6">
        <v>0.3</v>
      </c>
      <c r="AM6">
        <v>173.7</v>
      </c>
      <c r="AN6">
        <v>113.7</v>
      </c>
      <c r="AO6">
        <v>0.68</v>
      </c>
      <c r="AP6">
        <v>0.61</v>
      </c>
      <c r="AQ6">
        <v>2.931</v>
      </c>
      <c r="AR6">
        <v>0.99099999999999999</v>
      </c>
      <c r="AS6">
        <v>4.32</v>
      </c>
      <c r="AT6">
        <v>1.34</v>
      </c>
      <c r="AU6">
        <v>71</v>
      </c>
      <c r="AV6">
        <v>9</v>
      </c>
      <c r="AW6">
        <v>28</v>
      </c>
      <c r="AX6">
        <v>58.6</v>
      </c>
      <c r="AY6">
        <v>27.4</v>
      </c>
      <c r="AZ6">
        <v>1.2</v>
      </c>
      <c r="BA6">
        <v>0.95</v>
      </c>
      <c r="BB6">
        <v>316.8</v>
      </c>
      <c r="BC6">
        <v>319.60000000000002</v>
      </c>
      <c r="BD6">
        <v>0.83</v>
      </c>
      <c r="BE6">
        <v>0.83</v>
      </c>
      <c r="BF6">
        <v>17.53</v>
      </c>
      <c r="BG6">
        <v>7.125</v>
      </c>
      <c r="BH6">
        <v>4.7210000000000001</v>
      </c>
      <c r="BI6">
        <v>2.0910000000000002</v>
      </c>
      <c r="BJ6">
        <v>23.878840296939053</v>
      </c>
      <c r="BK6">
        <v>3.8719538277862307E-2</v>
      </c>
      <c r="BL6">
        <v>276.71285452969323</v>
      </c>
      <c r="BM6">
        <v>8.577987618349848</v>
      </c>
      <c r="BN6">
        <v>19.06975565233126</v>
      </c>
      <c r="BO6">
        <v>62.309741210937503</v>
      </c>
      <c r="BP6">
        <v>12.415983489161558</v>
      </c>
      <c r="BQ6">
        <v>1.3824713560099941E-2</v>
      </c>
      <c r="BR6">
        <v>267.93148605558071</v>
      </c>
      <c r="BS6">
        <v>3.5860685316636305</v>
      </c>
      <c r="BT6">
        <v>22.489645217734491</v>
      </c>
      <c r="BU6">
        <v>65.071209716796872</v>
      </c>
      <c r="BV6">
        <v>21.526590367089081</v>
      </c>
      <c r="BW6">
        <v>4.0806584385997449E-2</v>
      </c>
      <c r="BX6">
        <v>297.36623039251606</v>
      </c>
      <c r="BY6">
        <v>7.8309930601566151</v>
      </c>
      <c r="BZ6">
        <v>16.680895672566255</v>
      </c>
      <c r="CA6">
        <v>59.810037231445314</v>
      </c>
      <c r="CB6">
        <v>18.605148745632729</v>
      </c>
      <c r="CC6">
        <v>3.4400524891836357E-2</v>
      </c>
      <c r="CD6">
        <v>297.65056291411918</v>
      </c>
      <c r="CE6">
        <v>6.7635836916948362</v>
      </c>
      <c r="CF6">
        <v>17.039030155556901</v>
      </c>
      <c r="CG6">
        <v>60.138853454589842</v>
      </c>
      <c r="CH6">
        <v>478.44459999999998</v>
      </c>
      <c r="CI6">
        <v>45.747100000000003</v>
      </c>
      <c r="CJ6">
        <v>143.71870000000001</v>
      </c>
      <c r="CK6">
        <v>0.95620000000000005</v>
      </c>
      <c r="CL6">
        <v>478.44459999999998</v>
      </c>
      <c r="CM6">
        <v>3.4350000000000001</v>
      </c>
      <c r="CN6">
        <v>2191</v>
      </c>
      <c r="CW6">
        <v>73.2</v>
      </c>
      <c r="CX6">
        <v>8</v>
      </c>
      <c r="CY6">
        <v>29</v>
      </c>
      <c r="CZ6">
        <v>23.5</v>
      </c>
      <c r="DA6">
        <v>6.6</v>
      </c>
      <c r="DB6">
        <v>0.9</v>
      </c>
      <c r="DC6">
        <v>0.9</v>
      </c>
      <c r="DD6">
        <v>332.04652386333538</v>
      </c>
      <c r="DE6">
        <v>82.310552322171077</v>
      </c>
      <c r="DF6">
        <v>0.73</v>
      </c>
      <c r="DG6">
        <v>0.69</v>
      </c>
      <c r="DH6">
        <v>41.912999999999997</v>
      </c>
      <c r="DI6">
        <v>23.617000000000001</v>
      </c>
      <c r="DJ6">
        <v>10.952</v>
      </c>
      <c r="DK6">
        <v>9.2149999999999999</v>
      </c>
      <c r="DL6">
        <v>86.7</v>
      </c>
      <c r="DM6">
        <v>15</v>
      </c>
      <c r="DN6">
        <v>52</v>
      </c>
      <c r="DO6">
        <v>37.299999999999997</v>
      </c>
      <c r="DP6">
        <v>35.299999999999997</v>
      </c>
      <c r="DQ6">
        <v>1</v>
      </c>
      <c r="DR6">
        <v>1</v>
      </c>
      <c r="DS6">
        <v>362.63239169499872</v>
      </c>
      <c r="DT6">
        <v>345.94292873858831</v>
      </c>
      <c r="DU6">
        <v>0.83</v>
      </c>
      <c r="DV6">
        <v>0.83</v>
      </c>
      <c r="DW6">
        <v>42.234000000000002</v>
      </c>
      <c r="DX6">
        <v>31.89</v>
      </c>
      <c r="DY6">
        <v>18.690999999999999</v>
      </c>
      <c r="DZ6">
        <v>14.211</v>
      </c>
      <c r="EB6">
        <v>21.526590367089081</v>
      </c>
      <c r="EC6">
        <v>4.0806584385997449E-2</v>
      </c>
      <c r="ED6">
        <v>297.36623039251606</v>
      </c>
      <c r="EE6">
        <v>7.8309930601566151</v>
      </c>
      <c r="EF6">
        <v>16.680895672566255</v>
      </c>
      <c r="EG6">
        <v>59.810037231445314</v>
      </c>
      <c r="EH6">
        <v>18.605148745632729</v>
      </c>
      <c r="EI6">
        <v>3.4400524891836357E-2</v>
      </c>
      <c r="EJ6">
        <v>297.65056291411918</v>
      </c>
      <c r="EK6">
        <v>6.7635836916948362</v>
      </c>
      <c r="EL6">
        <v>17.039030155556901</v>
      </c>
      <c r="EM6">
        <v>60.138853454589842</v>
      </c>
      <c r="EO6">
        <v>24.886504618817121</v>
      </c>
      <c r="EP6">
        <v>0.31571649798598606</v>
      </c>
      <c r="EQ6">
        <v>377.89651758493943</v>
      </c>
      <c r="ER6">
        <v>12.145595844094705</v>
      </c>
      <c r="ES6">
        <v>3.8258739470615595</v>
      </c>
      <c r="ET6">
        <v>39.40531692504883</v>
      </c>
      <c r="EU6">
        <v>17.265682411615849</v>
      </c>
      <c r="EV6">
        <v>0.17878441082305488</v>
      </c>
      <c r="EW6">
        <v>388.77269024906411</v>
      </c>
      <c r="EX6">
        <v>7.1571696394979636</v>
      </c>
      <c r="EY6">
        <v>3.874128498329366</v>
      </c>
      <c r="EZ6">
        <v>38.961647033691406</v>
      </c>
      <c r="FB6">
        <v>734.99639999999999</v>
      </c>
      <c r="FC6">
        <v>158.85919999999999</v>
      </c>
      <c r="FD6">
        <v>499.07089999999999</v>
      </c>
      <c r="FE6">
        <v>2.1614</v>
      </c>
      <c r="FF6">
        <v>734.99639999999999</v>
      </c>
      <c r="FG6">
        <v>26.966999999999999</v>
      </c>
      <c r="FH6">
        <v>4937</v>
      </c>
      <c r="FI6">
        <v>786.84590000000003</v>
      </c>
      <c r="FJ6">
        <v>223.78749999999999</v>
      </c>
      <c r="FK6">
        <v>703.04909999999995</v>
      </c>
      <c r="FL6">
        <v>2.8441000000000001</v>
      </c>
      <c r="FM6">
        <v>786.84590000000003</v>
      </c>
      <c r="FN6">
        <v>49.988999999999997</v>
      </c>
      <c r="FO6">
        <v>5287</v>
      </c>
      <c r="FQ6">
        <v>15.1</v>
      </c>
      <c r="FR6">
        <v>0.9</v>
      </c>
      <c r="FS6">
        <v>275.61951264135126</v>
      </c>
      <c r="FT6">
        <v>0.81</v>
      </c>
      <c r="FU6">
        <v>27.5</v>
      </c>
      <c r="FV6">
        <v>1.1000000000000001</v>
      </c>
      <c r="FW6">
        <v>356.59962632674217</v>
      </c>
      <c r="FX6">
        <v>0.82</v>
      </c>
      <c r="FY6">
        <v>25.858267777989024</v>
      </c>
      <c r="FZ6">
        <v>0.35723028006655561</v>
      </c>
      <c r="GA6">
        <v>301.03932068416219</v>
      </c>
      <c r="GB6">
        <v>10.356902602805869</v>
      </c>
      <c r="GC6">
        <v>2.9503793051766483</v>
      </c>
      <c r="GD6">
        <v>37.517757415771484</v>
      </c>
      <c r="GF6">
        <v>20.055145339632922</v>
      </c>
      <c r="GG6">
        <v>0.31910432295300833</v>
      </c>
      <c r="GH6">
        <v>299.54733411832211</v>
      </c>
      <c r="GI6">
        <v>13.081231620384841</v>
      </c>
      <c r="GJ6">
        <v>4.0721904995190563</v>
      </c>
      <c r="GK6">
        <v>40.808280944824219</v>
      </c>
      <c r="GM6">
        <v>82</v>
      </c>
      <c r="GN6">
        <v>87</v>
      </c>
      <c r="GO6">
        <v>118</v>
      </c>
      <c r="GP6">
        <v>85</v>
      </c>
      <c r="GQ6">
        <v>90</v>
      </c>
      <c r="GR6">
        <v>121</v>
      </c>
      <c r="GT6">
        <v>120</v>
      </c>
      <c r="GU6">
        <v>19</v>
      </c>
      <c r="GV6">
        <v>13</v>
      </c>
      <c r="GW6">
        <v>49.12</v>
      </c>
      <c r="GX6">
        <v>32.049999999999997</v>
      </c>
      <c r="GY6">
        <v>17.25</v>
      </c>
      <c r="GZ6">
        <v>19.239999999999998</v>
      </c>
      <c r="HB6">
        <v>79</v>
      </c>
      <c r="HC6">
        <v>4</v>
      </c>
      <c r="HD6">
        <v>3</v>
      </c>
      <c r="HE6">
        <v>42.63</v>
      </c>
      <c r="HF6">
        <v>21.06</v>
      </c>
      <c r="HG6">
        <v>5.13</v>
      </c>
      <c r="HH6">
        <v>13.59</v>
      </c>
    </row>
    <row r="7" spans="1:216" x14ac:dyDescent="0.25">
      <c r="A7" t="s">
        <v>203</v>
      </c>
      <c r="B7" s="1" t="s">
        <v>204</v>
      </c>
      <c r="C7" s="3" t="s">
        <v>222</v>
      </c>
      <c r="D7" s="3">
        <v>1</v>
      </c>
      <c r="E7" s="6">
        <v>27</v>
      </c>
      <c r="F7" s="6">
        <v>0</v>
      </c>
      <c r="G7" s="6">
        <v>4</v>
      </c>
      <c r="H7" s="6">
        <v>16.399999999999999</v>
      </c>
      <c r="I7" s="6">
        <v>0.5</v>
      </c>
      <c r="J7" s="6">
        <v>11.2</v>
      </c>
      <c r="K7" s="6">
        <v>0.4</v>
      </c>
      <c r="L7">
        <v>0.52300000000000002</v>
      </c>
      <c r="M7">
        <v>0.35</v>
      </c>
      <c r="N7">
        <v>0.127</v>
      </c>
      <c r="O7">
        <v>0.18099999999999999</v>
      </c>
      <c r="P7">
        <v>11.934721863149655</v>
      </c>
      <c r="Q7">
        <v>0.27976584383199649</v>
      </c>
      <c r="R7">
        <v>245.07300326285045</v>
      </c>
      <c r="S7">
        <v>4.7366224151689797</v>
      </c>
      <c r="T7">
        <v>1.6845438347623261</v>
      </c>
      <c r="U7">
        <v>29.939834594726563</v>
      </c>
      <c r="V7">
        <v>118.3524</v>
      </c>
      <c r="W7">
        <v>6.2430000000000003</v>
      </c>
      <c r="X7">
        <v>19.613099999999999</v>
      </c>
      <c r="Y7">
        <v>0.52749999999999997</v>
      </c>
      <c r="Z7">
        <v>118.3524</v>
      </c>
      <c r="AA7">
        <v>0.25900000000000001</v>
      </c>
      <c r="AB7">
        <v>448</v>
      </c>
      <c r="AC7" s="1" t="s">
        <v>204</v>
      </c>
      <c r="AD7" s="3" t="s">
        <v>223</v>
      </c>
      <c r="AE7" s="3">
        <v>1</v>
      </c>
      <c r="AF7">
        <v>44.3</v>
      </c>
      <c r="AG7">
        <v>7</v>
      </c>
      <c r="AH7">
        <v>17</v>
      </c>
      <c r="AI7">
        <v>28.1</v>
      </c>
      <c r="AJ7">
        <v>23.4</v>
      </c>
      <c r="AK7">
        <v>0.7</v>
      </c>
      <c r="AL7">
        <v>0.6</v>
      </c>
      <c r="AM7">
        <v>334.7</v>
      </c>
      <c r="AN7">
        <v>210.7</v>
      </c>
      <c r="AO7">
        <v>0.75</v>
      </c>
      <c r="AP7">
        <v>0.71</v>
      </c>
      <c r="AQ7">
        <v>7.0609999999999999</v>
      </c>
      <c r="AR7">
        <v>3.06</v>
      </c>
      <c r="AS7">
        <v>7.5659999999999998</v>
      </c>
      <c r="AT7">
        <v>2.98</v>
      </c>
      <c r="AU7">
        <v>17.3</v>
      </c>
      <c r="AV7">
        <v>5</v>
      </c>
      <c r="AW7">
        <v>16</v>
      </c>
      <c r="AX7">
        <v>30.4</v>
      </c>
      <c r="AY7">
        <v>21.1</v>
      </c>
      <c r="AZ7">
        <v>0.7</v>
      </c>
      <c r="BA7">
        <v>0.8</v>
      </c>
      <c r="BB7">
        <v>127.8</v>
      </c>
      <c r="BC7">
        <v>117.5</v>
      </c>
      <c r="BD7">
        <v>0.84</v>
      </c>
      <c r="BE7">
        <v>0.82</v>
      </c>
      <c r="BF7">
        <v>5.79</v>
      </c>
      <c r="BG7">
        <v>2.0179999999999998</v>
      </c>
      <c r="BH7">
        <v>2.681</v>
      </c>
      <c r="BI7">
        <v>1.0940000000000001</v>
      </c>
      <c r="BJ7">
        <v>18.776385421514693</v>
      </c>
      <c r="BK7">
        <v>2.5590633299806743E-2</v>
      </c>
      <c r="BL7">
        <v>277.87608747968955</v>
      </c>
      <c r="BM7">
        <v>5.7938360211008657</v>
      </c>
      <c r="BN7">
        <v>19.508734406683136</v>
      </c>
      <c r="BO7">
        <v>62.65568313598633</v>
      </c>
      <c r="BP7">
        <v>3.7112218772607464</v>
      </c>
      <c r="BQ7">
        <v>9.0912467798298802E-3</v>
      </c>
      <c r="BR7">
        <v>250.11882260557223</v>
      </c>
      <c r="BS7">
        <v>2.8488279230644515</v>
      </c>
      <c r="BT7">
        <v>26.446643986977875</v>
      </c>
      <c r="BU7">
        <v>68.340089416503901</v>
      </c>
      <c r="BV7">
        <v>24.681915932193196</v>
      </c>
      <c r="BW7">
        <v>5.0243991049707074E-2</v>
      </c>
      <c r="BX7">
        <v>285.86112318828339</v>
      </c>
      <c r="BY7">
        <v>9.9826108216751148</v>
      </c>
      <c r="BZ7">
        <v>17.220805965930776</v>
      </c>
      <c r="CA7">
        <v>60.639511108398438</v>
      </c>
      <c r="CB7">
        <v>25.805903042763852</v>
      </c>
      <c r="CC7">
        <v>5.0951015539818789E-2</v>
      </c>
      <c r="CD7">
        <v>283.7926438071645</v>
      </c>
      <c r="CE7">
        <v>10.319774470696336</v>
      </c>
      <c r="CF7">
        <v>17.526795462168771</v>
      </c>
      <c r="CG7">
        <v>60.925893402099611</v>
      </c>
      <c r="CH7">
        <v>444.66019999999997</v>
      </c>
      <c r="CI7">
        <v>80.378399999999999</v>
      </c>
      <c r="CJ7">
        <v>252.5163</v>
      </c>
      <c r="CK7">
        <v>1.8076000000000001</v>
      </c>
      <c r="CL7">
        <v>444.66019999999997</v>
      </c>
      <c r="CM7">
        <v>11.411</v>
      </c>
      <c r="CN7">
        <v>1450</v>
      </c>
      <c r="CO7">
        <v>424.30543333333327</v>
      </c>
      <c r="CP7">
        <v>74.467833333333331</v>
      </c>
      <c r="CQ7">
        <v>233.94756666666663</v>
      </c>
      <c r="CR7">
        <v>1.8364333333333336</v>
      </c>
      <c r="CS7">
        <v>424.30543333333327</v>
      </c>
      <c r="CT7">
        <v>13.062666666666667</v>
      </c>
      <c r="CU7">
        <v>1436.3333333333333</v>
      </c>
      <c r="CW7">
        <v>70.5</v>
      </c>
      <c r="CX7">
        <v>8</v>
      </c>
      <c r="CY7">
        <v>32</v>
      </c>
      <c r="CZ7">
        <v>23</v>
      </c>
      <c r="DA7">
        <v>27.5</v>
      </c>
      <c r="DB7">
        <v>0.8</v>
      </c>
      <c r="DC7">
        <v>1</v>
      </c>
      <c r="DD7">
        <v>255.24700111142118</v>
      </c>
      <c r="DE7">
        <v>176.35212075207826</v>
      </c>
      <c r="DF7">
        <v>0.79</v>
      </c>
      <c r="DG7">
        <v>0.71</v>
      </c>
      <c r="DH7">
        <v>40.691000000000003</v>
      </c>
      <c r="DI7">
        <v>25.111999999999998</v>
      </c>
      <c r="DJ7">
        <v>11.25</v>
      </c>
      <c r="DK7">
        <v>8.7539999999999996</v>
      </c>
      <c r="DL7">
        <v>81.5</v>
      </c>
      <c r="DM7">
        <v>26</v>
      </c>
      <c r="DN7">
        <v>81</v>
      </c>
      <c r="DO7">
        <v>36.4</v>
      </c>
      <c r="DP7">
        <v>33</v>
      </c>
      <c r="DQ7">
        <v>1.2</v>
      </c>
      <c r="DR7">
        <v>0.8</v>
      </c>
      <c r="DS7">
        <v>380.49561523304453</v>
      </c>
      <c r="DT7">
        <v>313.15203151956922</v>
      </c>
      <c r="DU7">
        <v>0.84</v>
      </c>
      <c r="DV7">
        <v>0.82</v>
      </c>
      <c r="DW7">
        <v>30.672000000000001</v>
      </c>
      <c r="DX7">
        <v>19.341000000000001</v>
      </c>
      <c r="DY7">
        <v>12.785</v>
      </c>
      <c r="DZ7">
        <v>6.5119999999999996</v>
      </c>
      <c r="EB7">
        <v>24.681915932193196</v>
      </c>
      <c r="EC7">
        <v>5.0243991049707074E-2</v>
      </c>
      <c r="ED7">
        <v>285.86112318828339</v>
      </c>
      <c r="EE7">
        <v>9.9826108216751148</v>
      </c>
      <c r="EF7">
        <v>17.220805965930776</v>
      </c>
      <c r="EG7">
        <v>60.639511108398438</v>
      </c>
      <c r="EH7">
        <v>25.805903042763852</v>
      </c>
      <c r="EI7">
        <v>5.0951015539818789E-2</v>
      </c>
      <c r="EJ7">
        <v>283.7926438071645</v>
      </c>
      <c r="EK7">
        <v>10.319774470696336</v>
      </c>
      <c r="EL7">
        <v>17.526795462168771</v>
      </c>
      <c r="EM7">
        <v>60.925893402099611</v>
      </c>
      <c r="EO7">
        <v>19.638539885162128</v>
      </c>
      <c r="EP7">
        <v>0.18555181751488453</v>
      </c>
      <c r="EQ7">
        <v>388.83230172054124</v>
      </c>
      <c r="ER7">
        <v>7.3567551915757265</v>
      </c>
      <c r="ES7">
        <v>3.8423015559409017</v>
      </c>
      <c r="ET7">
        <v>38.666163635253909</v>
      </c>
      <c r="EU7">
        <v>8.1481186373374062</v>
      </c>
      <c r="EV7">
        <v>6.9980999283109663E-2</v>
      </c>
      <c r="EW7">
        <v>402.0191965253307</v>
      </c>
      <c r="EX7">
        <v>3.1397031040774612</v>
      </c>
      <c r="EY7">
        <v>4.2404318329157809</v>
      </c>
      <c r="EZ7">
        <v>39.274639129638672</v>
      </c>
      <c r="FB7">
        <v>483.7989</v>
      </c>
      <c r="FC7">
        <v>118.4872</v>
      </c>
      <c r="FD7">
        <v>372.23840000000001</v>
      </c>
      <c r="FE7">
        <v>2.4491000000000001</v>
      </c>
      <c r="FF7">
        <v>483.7989</v>
      </c>
      <c r="FG7">
        <v>22.791</v>
      </c>
      <c r="FH7">
        <v>2361</v>
      </c>
      <c r="FI7">
        <v>617.47299999999996</v>
      </c>
      <c r="FJ7">
        <v>83.386899999999997</v>
      </c>
      <c r="FK7">
        <v>261.9676</v>
      </c>
      <c r="FL7">
        <v>1.3505</v>
      </c>
      <c r="FM7">
        <v>617.47299999999996</v>
      </c>
      <c r="FN7">
        <v>8.8439999999999994</v>
      </c>
      <c r="FO7">
        <v>1977</v>
      </c>
      <c r="FQ7">
        <v>16.8</v>
      </c>
      <c r="FR7">
        <v>1</v>
      </c>
      <c r="FS7">
        <v>270.58141863344827</v>
      </c>
      <c r="FT7">
        <v>0.83</v>
      </c>
      <c r="FU7">
        <v>30.5</v>
      </c>
      <c r="FV7">
        <v>1.7</v>
      </c>
      <c r="FW7">
        <v>345.94292873858831</v>
      </c>
      <c r="FX7">
        <v>0.82</v>
      </c>
      <c r="FY7">
        <v>22.13045637682773</v>
      </c>
      <c r="FZ7">
        <v>0.37043866142468934</v>
      </c>
      <c r="GA7">
        <v>319.07826345166359</v>
      </c>
      <c r="GB7">
        <v>11.542852884696217</v>
      </c>
      <c r="GC7">
        <v>3.1632754311063254</v>
      </c>
      <c r="GD7">
        <v>38.270977020263672</v>
      </c>
      <c r="GF7">
        <v>21.54717823559908</v>
      </c>
      <c r="GG7">
        <v>0.29374255828163148</v>
      </c>
      <c r="GH7">
        <v>281.96178696139441</v>
      </c>
      <c r="GI7">
        <v>13.218446263548547</v>
      </c>
      <c r="GJ7">
        <v>4.4326328125661973</v>
      </c>
      <c r="GK7">
        <v>41.457424163818359</v>
      </c>
      <c r="GM7">
        <v>88</v>
      </c>
      <c r="GN7">
        <v>94</v>
      </c>
      <c r="GO7">
        <v>122</v>
      </c>
      <c r="GP7">
        <v>91</v>
      </c>
      <c r="GQ7">
        <v>97</v>
      </c>
      <c r="GR7">
        <v>124</v>
      </c>
      <c r="GT7">
        <v>88</v>
      </c>
      <c r="GU7">
        <v>33</v>
      </c>
      <c r="GV7">
        <v>21</v>
      </c>
      <c r="GW7">
        <v>55.15</v>
      </c>
      <c r="GX7">
        <v>38.450000000000003</v>
      </c>
      <c r="GY7">
        <v>18.05</v>
      </c>
      <c r="GZ7">
        <v>22.12</v>
      </c>
      <c r="HB7">
        <v>78</v>
      </c>
      <c r="HC7">
        <v>15</v>
      </c>
      <c r="HD7">
        <v>9</v>
      </c>
      <c r="HE7">
        <v>38.67</v>
      </c>
      <c r="HF7">
        <v>28.08</v>
      </c>
      <c r="HG7">
        <v>13.164999999999999</v>
      </c>
      <c r="HH7">
        <v>17.117999999999999</v>
      </c>
    </row>
    <row r="8" spans="1:216" x14ac:dyDescent="0.25">
      <c r="B8" s="1" t="s">
        <v>204</v>
      </c>
      <c r="C8" s="3" t="s">
        <v>222</v>
      </c>
      <c r="D8" s="3">
        <v>2</v>
      </c>
      <c r="E8" s="6">
        <v>32.799999999999997</v>
      </c>
      <c r="F8" s="6">
        <v>0</v>
      </c>
      <c r="G8" s="6">
        <v>4</v>
      </c>
      <c r="H8" s="6">
        <v>22</v>
      </c>
      <c r="I8" s="6">
        <v>0.5</v>
      </c>
      <c r="J8" s="6">
        <v>14.9</v>
      </c>
      <c r="K8" s="6">
        <v>0.1</v>
      </c>
      <c r="L8">
        <v>0.44900000000000001</v>
      </c>
      <c r="M8">
        <v>0.39</v>
      </c>
      <c r="N8">
        <v>0.151</v>
      </c>
      <c r="O8">
        <v>0.191</v>
      </c>
      <c r="P8">
        <v>11.872181626034198</v>
      </c>
      <c r="Q8">
        <v>0.28465951979226589</v>
      </c>
      <c r="R8">
        <v>246.60186376545042</v>
      </c>
      <c r="S8">
        <v>4.8139866322429681</v>
      </c>
      <c r="T8">
        <v>1.6842027200860046</v>
      </c>
      <c r="U8">
        <v>29.948740005493164</v>
      </c>
      <c r="V8">
        <v>114.694</v>
      </c>
      <c r="W8">
        <v>5.2781000000000002</v>
      </c>
      <c r="X8">
        <v>16.581499999999998</v>
      </c>
      <c r="Y8">
        <v>0.4602</v>
      </c>
      <c r="Z8">
        <v>114.694</v>
      </c>
      <c r="AA8">
        <v>0.191</v>
      </c>
      <c r="AB8">
        <v>396</v>
      </c>
      <c r="AD8" s="3" t="s">
        <v>223</v>
      </c>
      <c r="AE8" s="3">
        <v>2</v>
      </c>
      <c r="AF8">
        <v>48.3</v>
      </c>
      <c r="AG8">
        <v>8</v>
      </c>
      <c r="AH8">
        <v>23</v>
      </c>
      <c r="AI8">
        <v>32.200000000000003</v>
      </c>
      <c r="AJ8">
        <v>28.3</v>
      </c>
      <c r="AK8">
        <v>0.9</v>
      </c>
      <c r="AL8">
        <v>0.7</v>
      </c>
      <c r="AM8">
        <v>330.6</v>
      </c>
      <c r="AN8">
        <v>196.5</v>
      </c>
      <c r="AO8">
        <v>0.78</v>
      </c>
      <c r="AP8">
        <v>0.69</v>
      </c>
      <c r="AQ8">
        <v>8.4209999999999994</v>
      </c>
      <c r="AR8">
        <v>2.5720000000000001</v>
      </c>
      <c r="AS8">
        <v>9.4209999999999994</v>
      </c>
      <c r="AT8">
        <v>3.2989999999999999</v>
      </c>
      <c r="AU8">
        <v>50.9</v>
      </c>
      <c r="AV8">
        <v>4</v>
      </c>
      <c r="AW8">
        <v>13</v>
      </c>
      <c r="AX8">
        <v>32.200000000000003</v>
      </c>
      <c r="AY8">
        <v>28</v>
      </c>
      <c r="AZ8">
        <v>0.8</v>
      </c>
      <c r="BA8">
        <v>0.9</v>
      </c>
      <c r="BB8">
        <v>146.4</v>
      </c>
      <c r="BC8">
        <v>106.9</v>
      </c>
      <c r="BD8">
        <v>0.85</v>
      </c>
      <c r="BE8">
        <v>0.84</v>
      </c>
      <c r="BF8">
        <v>10.962</v>
      </c>
      <c r="BG8">
        <v>5.1120000000000001</v>
      </c>
      <c r="BH8">
        <v>4.6470000000000002</v>
      </c>
      <c r="BI8">
        <v>1.115</v>
      </c>
      <c r="BJ8">
        <v>21.79358693965111</v>
      </c>
      <c r="BK8">
        <v>2.4344223939874152E-2</v>
      </c>
      <c r="BL8">
        <v>240.41406751285035</v>
      </c>
      <c r="BM8">
        <v>7.4139302328998031</v>
      </c>
      <c r="BN8">
        <v>25.129000458251969</v>
      </c>
      <c r="BO8">
        <v>67.642732238769526</v>
      </c>
      <c r="BP8">
        <v>17.519067203807253</v>
      </c>
      <c r="BQ8">
        <v>2.7147013264477687E-2</v>
      </c>
      <c r="BR8">
        <v>275.55312885571499</v>
      </c>
      <c r="BS8">
        <v>6.3028656722004719</v>
      </c>
      <c r="BT8">
        <v>19.94908291138659</v>
      </c>
      <c r="BU8">
        <v>63.038330078125</v>
      </c>
      <c r="BV8">
        <v>24.825974078604389</v>
      </c>
      <c r="BW8">
        <v>5.8669359309099056E-2</v>
      </c>
      <c r="BX8">
        <v>282.4506112226951</v>
      </c>
      <c r="BY8">
        <v>12.251000797833266</v>
      </c>
      <c r="BZ8">
        <v>18.029125067337162</v>
      </c>
      <c r="CA8">
        <v>61.497185516357419</v>
      </c>
      <c r="CB8">
        <v>29.450587935847306</v>
      </c>
      <c r="CC8">
        <v>5.9441888038642657E-2</v>
      </c>
      <c r="CD8">
        <v>274.94675044892017</v>
      </c>
      <c r="CE8">
        <v>12.531445013037958</v>
      </c>
      <c r="CF8">
        <v>18.180564540728749</v>
      </c>
      <c r="CG8">
        <v>61.692051696777341</v>
      </c>
      <c r="CH8">
        <v>369.12909999999999</v>
      </c>
      <c r="CI8">
        <v>110.4663</v>
      </c>
      <c r="CJ8">
        <v>347.04</v>
      </c>
      <c r="CK8">
        <v>2.9925999999999999</v>
      </c>
      <c r="CL8">
        <v>369.12909999999999</v>
      </c>
      <c r="CM8">
        <v>25.963999999999999</v>
      </c>
      <c r="CN8">
        <v>1305</v>
      </c>
      <c r="CO8">
        <v>318.96186666666665</v>
      </c>
      <c r="CP8">
        <v>35.594299999999997</v>
      </c>
      <c r="CQ8">
        <v>111.82270000000001</v>
      </c>
      <c r="CR8">
        <v>1.1197333333333332</v>
      </c>
      <c r="CS8">
        <v>318.96186666666665</v>
      </c>
      <c r="CT8">
        <v>3.1310000000000002</v>
      </c>
      <c r="CU8">
        <v>1075.6666666666667</v>
      </c>
      <c r="CW8">
        <v>71.099999999999994</v>
      </c>
      <c r="CX8">
        <v>8</v>
      </c>
      <c r="CY8">
        <v>31</v>
      </c>
      <c r="CZ8">
        <v>21.7</v>
      </c>
      <c r="DA8">
        <v>7.7</v>
      </c>
      <c r="DB8">
        <v>0.8</v>
      </c>
      <c r="DC8">
        <v>1</v>
      </c>
      <c r="DD8">
        <v>316.33161421276441</v>
      </c>
      <c r="DE8">
        <v>180.27539552590744</v>
      </c>
      <c r="DF8">
        <v>0.79</v>
      </c>
      <c r="DG8">
        <v>0.69</v>
      </c>
      <c r="DH8">
        <v>38.174999999999997</v>
      </c>
      <c r="DI8">
        <v>23.574999999999999</v>
      </c>
      <c r="DJ8">
        <v>12.975</v>
      </c>
      <c r="DK8">
        <v>9.8620000000000001</v>
      </c>
      <c r="DL8">
        <v>87.6</v>
      </c>
      <c r="DM8">
        <v>25</v>
      </c>
      <c r="DN8">
        <v>86</v>
      </c>
      <c r="DO8">
        <v>40.5</v>
      </c>
      <c r="DP8">
        <v>39.5</v>
      </c>
      <c r="DQ8">
        <v>1.2</v>
      </c>
      <c r="DR8">
        <v>0.8</v>
      </c>
      <c r="DS8">
        <v>387.83927281907393</v>
      </c>
      <c r="DT8">
        <v>317.91672043974671</v>
      </c>
      <c r="DU8">
        <v>0.84</v>
      </c>
      <c r="DV8">
        <v>0.84</v>
      </c>
      <c r="DW8">
        <v>25.129000000000001</v>
      </c>
      <c r="DX8">
        <v>15.612</v>
      </c>
      <c r="DY8">
        <v>11.098000000000001</v>
      </c>
      <c r="DZ8">
        <v>5.8209999999999997</v>
      </c>
      <c r="EB8">
        <v>29.450587935847306</v>
      </c>
      <c r="EC8">
        <v>5.9441888038642657E-2</v>
      </c>
      <c r="ED8">
        <v>274.94675044892017</v>
      </c>
      <c r="EE8">
        <v>12.531445013037958</v>
      </c>
      <c r="EF8">
        <v>18.180564540728749</v>
      </c>
      <c r="EG8">
        <v>61.692051696777341</v>
      </c>
      <c r="EH8">
        <v>24.825974078604389</v>
      </c>
      <c r="EI8">
        <v>5.8669359309099056E-2</v>
      </c>
      <c r="EJ8">
        <v>282.4506112226951</v>
      </c>
      <c r="EK8">
        <v>12.251000797833266</v>
      </c>
      <c r="EL8">
        <v>18.029125067337162</v>
      </c>
      <c r="EM8">
        <v>61.497185516357419</v>
      </c>
      <c r="EO8">
        <v>20.906456010821394</v>
      </c>
      <c r="EP8">
        <v>0.21062544031543409</v>
      </c>
      <c r="EQ8">
        <v>385.90917827629261</v>
      </c>
      <c r="ER8">
        <v>8.5286733849596708</v>
      </c>
      <c r="ES8">
        <v>3.9407381691688208</v>
      </c>
      <c r="ET8">
        <v>39.057471466064456</v>
      </c>
      <c r="EU8">
        <v>14.048947884018869</v>
      </c>
      <c r="EV8">
        <v>0.13524833184394569</v>
      </c>
      <c r="EW8">
        <v>394.55317881992323</v>
      </c>
      <c r="EX8">
        <v>5.6865537771080339</v>
      </c>
      <c r="EY8">
        <v>4.0296678993280972</v>
      </c>
      <c r="EZ8">
        <v>39.018836212158206</v>
      </c>
      <c r="FB8">
        <v>484.48989999999998</v>
      </c>
      <c r="FC8">
        <v>123.5575</v>
      </c>
      <c r="FD8">
        <v>388.16730000000001</v>
      </c>
      <c r="FE8">
        <v>2.5503</v>
      </c>
      <c r="FF8">
        <v>484.48989999999998</v>
      </c>
      <c r="FG8">
        <v>24.748000000000001</v>
      </c>
      <c r="FH8">
        <v>3525</v>
      </c>
      <c r="FI8">
        <v>1021.2055</v>
      </c>
      <c r="FJ8">
        <v>123.0103</v>
      </c>
      <c r="FK8">
        <v>386.44830000000002</v>
      </c>
      <c r="FL8">
        <v>1.2045999999999999</v>
      </c>
      <c r="FM8">
        <v>1021.2055</v>
      </c>
      <c r="FN8">
        <v>11.638</v>
      </c>
      <c r="FO8">
        <v>3902</v>
      </c>
      <c r="FQ8">
        <v>14.7</v>
      </c>
      <c r="FR8">
        <v>1</v>
      </c>
      <c r="FS8">
        <v>272.26472672178915</v>
      </c>
      <c r="FT8">
        <v>0.83</v>
      </c>
      <c r="FU8">
        <v>30.3</v>
      </c>
      <c r="FV8">
        <v>1.7</v>
      </c>
      <c r="FW8">
        <v>353.56794103100185</v>
      </c>
      <c r="FX8">
        <v>0.82</v>
      </c>
      <c r="FY8">
        <v>22.226768066619432</v>
      </c>
      <c r="FZ8">
        <v>0.37012542196750403</v>
      </c>
      <c r="GA8">
        <v>318.52297629288768</v>
      </c>
      <c r="GB8">
        <v>11.537991178572749</v>
      </c>
      <c r="GC8">
        <v>3.1643845794932997</v>
      </c>
      <c r="GD8">
        <v>38.273189544677734</v>
      </c>
      <c r="GF8">
        <v>21.54717823559908</v>
      </c>
      <c r="GG8">
        <v>0.29374255828163148</v>
      </c>
      <c r="GH8">
        <v>281.96178696139441</v>
      </c>
      <c r="GI8">
        <v>13.218446263548547</v>
      </c>
      <c r="GJ8">
        <v>4.4326328125661973</v>
      </c>
      <c r="GK8">
        <v>41.457424163818359</v>
      </c>
      <c r="GM8">
        <v>88</v>
      </c>
      <c r="GN8">
        <v>94</v>
      </c>
      <c r="GO8">
        <v>122</v>
      </c>
      <c r="GP8">
        <v>91</v>
      </c>
      <c r="GQ8">
        <v>97</v>
      </c>
      <c r="GR8">
        <v>124</v>
      </c>
      <c r="GT8">
        <v>88</v>
      </c>
      <c r="GU8">
        <v>27</v>
      </c>
      <c r="GV8">
        <v>17</v>
      </c>
      <c r="GW8">
        <v>52.19</v>
      </c>
      <c r="GX8">
        <v>37.65</v>
      </c>
      <c r="GY8">
        <v>16.95</v>
      </c>
      <c r="GZ8">
        <v>21.95</v>
      </c>
      <c r="HB8">
        <v>75</v>
      </c>
      <c r="HC8">
        <v>10</v>
      </c>
      <c r="HD8">
        <v>5</v>
      </c>
      <c r="HE8">
        <v>35.51</v>
      </c>
      <c r="HF8">
        <v>24.63</v>
      </c>
      <c r="HG8">
        <v>11.68</v>
      </c>
      <c r="HH8">
        <v>16.579999999999998</v>
      </c>
    </row>
    <row r="9" spans="1:216" x14ac:dyDescent="0.25">
      <c r="B9" s="1" t="s">
        <v>204</v>
      </c>
      <c r="C9" s="3" t="s">
        <v>222</v>
      </c>
      <c r="D9" s="3">
        <v>3</v>
      </c>
      <c r="E9" s="6">
        <v>36.799999999999997</v>
      </c>
      <c r="F9" s="6">
        <v>0</v>
      </c>
      <c r="G9" s="6">
        <v>4</v>
      </c>
      <c r="H9" s="6">
        <v>22</v>
      </c>
      <c r="I9" s="6">
        <v>0.65</v>
      </c>
      <c r="J9" s="6">
        <v>5</v>
      </c>
      <c r="K9" s="6">
        <v>0.6</v>
      </c>
      <c r="L9">
        <v>0.80600000000000005</v>
      </c>
      <c r="M9">
        <v>0.42</v>
      </c>
      <c r="N9">
        <v>0.25700000000000001</v>
      </c>
      <c r="O9">
        <v>0.122</v>
      </c>
      <c r="P9">
        <v>11.421598624607729</v>
      </c>
      <c r="Q9">
        <v>0.25514256712310029</v>
      </c>
      <c r="R9">
        <v>240.46047722352736</v>
      </c>
      <c r="S9">
        <v>4.3792857719292888</v>
      </c>
      <c r="T9">
        <v>1.6993490787533392</v>
      </c>
      <c r="U9">
        <v>30.014665603637695</v>
      </c>
      <c r="V9">
        <v>132.0984</v>
      </c>
      <c r="W9">
        <v>8.7788000000000004</v>
      </c>
      <c r="X9">
        <v>27.5794</v>
      </c>
      <c r="Y9">
        <v>0.66459999999999997</v>
      </c>
      <c r="Z9">
        <v>132.0984</v>
      </c>
      <c r="AA9">
        <v>0.45800000000000002</v>
      </c>
      <c r="AB9">
        <v>492</v>
      </c>
      <c r="AD9" s="3" t="s">
        <v>223</v>
      </c>
      <c r="AE9" s="3">
        <v>3</v>
      </c>
      <c r="AF9">
        <v>36.6</v>
      </c>
      <c r="AG9">
        <v>7</v>
      </c>
      <c r="AH9">
        <v>19</v>
      </c>
      <c r="AI9">
        <v>23.8</v>
      </c>
      <c r="AJ9">
        <v>13.7</v>
      </c>
      <c r="AK9">
        <v>0.6</v>
      </c>
      <c r="AL9">
        <v>0.3</v>
      </c>
      <c r="AM9">
        <v>362.1</v>
      </c>
      <c r="AN9">
        <v>236.4</v>
      </c>
      <c r="AO9">
        <v>0.72</v>
      </c>
      <c r="AP9">
        <v>0.68</v>
      </c>
      <c r="AQ9">
        <v>4.3710000000000004</v>
      </c>
      <c r="AR9">
        <v>1.415</v>
      </c>
      <c r="AS9">
        <v>4.3209999999999997</v>
      </c>
      <c r="AT9">
        <v>2.2509999999999999</v>
      </c>
      <c r="AU9">
        <v>53.9</v>
      </c>
      <c r="AV9">
        <v>6</v>
      </c>
      <c r="AW9">
        <v>18</v>
      </c>
      <c r="AX9">
        <v>31</v>
      </c>
      <c r="AY9">
        <v>21</v>
      </c>
      <c r="AZ9">
        <v>0.8</v>
      </c>
      <c r="BA9">
        <v>0.8</v>
      </c>
      <c r="BB9">
        <v>135.80000000000001</v>
      </c>
      <c r="BC9">
        <v>107.8</v>
      </c>
      <c r="BD9">
        <v>0.84</v>
      </c>
      <c r="BE9">
        <v>0.85</v>
      </c>
      <c r="BF9">
        <v>11.21</v>
      </c>
      <c r="BG9">
        <v>5.7629999999999999</v>
      </c>
      <c r="BH9">
        <v>4.3209999999999997</v>
      </c>
      <c r="BI9">
        <v>1.0209999999999999</v>
      </c>
      <c r="BJ9">
        <v>17.782659130714954</v>
      </c>
      <c r="BK9">
        <v>1.9926641614912873E-2</v>
      </c>
      <c r="BL9">
        <v>243.69944009381371</v>
      </c>
      <c r="BM9">
        <v>5.8705159380069976</v>
      </c>
      <c r="BN9">
        <v>25.015341866392163</v>
      </c>
      <c r="BO9">
        <v>67.387676239013672</v>
      </c>
      <c r="BP9">
        <v>13.447974901265672</v>
      </c>
      <c r="BQ9">
        <v>2.4519691743983038E-2</v>
      </c>
      <c r="BR9">
        <v>270.07802141459194</v>
      </c>
      <c r="BS9">
        <v>5.990777486439784</v>
      </c>
      <c r="BT9">
        <v>21.529849259058757</v>
      </c>
      <c r="BU9">
        <v>64.216452026367193</v>
      </c>
      <c r="BV9">
        <v>23.144647348280415</v>
      </c>
      <c r="BW9">
        <v>5.6946912311445649E-2</v>
      </c>
      <c r="BX9">
        <v>278.50921473002393</v>
      </c>
      <c r="BY9">
        <v>12.316487534754399</v>
      </c>
      <c r="BZ9">
        <v>18.597137626358062</v>
      </c>
      <c r="CA9">
        <v>62.098363494873048</v>
      </c>
      <c r="CB9">
        <v>26.511607372994387</v>
      </c>
      <c r="CC9">
        <v>4.0733780379569103E-2</v>
      </c>
      <c r="CD9">
        <v>221.34709403982077</v>
      </c>
      <c r="CE9">
        <v>13.840051667054842</v>
      </c>
      <c r="CF9">
        <v>27.669801474902908</v>
      </c>
      <c r="CG9">
        <v>69.804880523681646</v>
      </c>
      <c r="CH9">
        <v>459.12700000000001</v>
      </c>
      <c r="CI9">
        <v>32.558799999999998</v>
      </c>
      <c r="CJ9">
        <v>102.2864</v>
      </c>
      <c r="CK9">
        <v>0.70909999999999995</v>
      </c>
      <c r="CL9">
        <v>459.12700000000001</v>
      </c>
      <c r="CM9">
        <v>1.8129999999999999</v>
      </c>
      <c r="CN9">
        <v>1554</v>
      </c>
      <c r="CW9">
        <v>70.3</v>
      </c>
      <c r="CX9">
        <v>8</v>
      </c>
      <c r="CY9">
        <v>30</v>
      </c>
      <c r="CZ9">
        <v>23.5</v>
      </c>
      <c r="DA9">
        <v>27.5</v>
      </c>
      <c r="DB9">
        <v>0.8</v>
      </c>
      <c r="DC9">
        <v>1</v>
      </c>
      <c r="DD9">
        <v>335.15422333859686</v>
      </c>
      <c r="DE9">
        <v>189.95675088725588</v>
      </c>
      <c r="DF9">
        <v>0.76</v>
      </c>
      <c r="DG9">
        <v>0.71</v>
      </c>
      <c r="DH9">
        <v>39.347000000000001</v>
      </c>
      <c r="DI9">
        <v>21.954000000000001</v>
      </c>
      <c r="DJ9">
        <v>11.215</v>
      </c>
      <c r="DK9">
        <v>9.1430000000000007</v>
      </c>
      <c r="DL9">
        <v>93.5</v>
      </c>
      <c r="DM9">
        <v>29</v>
      </c>
      <c r="DN9">
        <v>93</v>
      </c>
      <c r="DO9">
        <v>38.5</v>
      </c>
      <c r="DP9">
        <v>37.299999999999997</v>
      </c>
      <c r="DQ9">
        <v>1.2</v>
      </c>
      <c r="DR9">
        <v>0.8</v>
      </c>
      <c r="DS9">
        <v>380.49561523304453</v>
      </c>
      <c r="DT9">
        <v>316.33161421276441</v>
      </c>
      <c r="DU9">
        <v>0.84</v>
      </c>
      <c r="DV9">
        <v>0.83</v>
      </c>
      <c r="DW9">
        <v>27.873999999999999</v>
      </c>
      <c r="DX9">
        <v>18.091000000000001</v>
      </c>
      <c r="DY9">
        <v>11.762</v>
      </c>
      <c r="DZ9">
        <v>6.8120000000000003</v>
      </c>
      <c r="EB9">
        <v>25.723933849692468</v>
      </c>
      <c r="EC9">
        <v>3.9530058814140789E-2</v>
      </c>
      <c r="ED9">
        <v>218.45604527713613</v>
      </c>
      <c r="EE9">
        <v>13.866814636777145</v>
      </c>
      <c r="EF9">
        <v>28.294259384111058</v>
      </c>
      <c r="EG9">
        <v>70.288800048828122</v>
      </c>
      <c r="EH9">
        <v>23.144647348280415</v>
      </c>
      <c r="EI9">
        <v>5.6946912311445649E-2</v>
      </c>
      <c r="EJ9">
        <v>278.50921473002393</v>
      </c>
      <c r="EK9">
        <v>12.316487534754399</v>
      </c>
      <c r="EL9">
        <v>18.597137626358062</v>
      </c>
      <c r="EM9">
        <v>62.098363494873048</v>
      </c>
      <c r="EO9">
        <v>23.025351699825347</v>
      </c>
      <c r="EP9">
        <v>0.2726342964352913</v>
      </c>
      <c r="EQ9">
        <v>382.92400141518658</v>
      </c>
      <c r="ER9">
        <v>10.546266345315116</v>
      </c>
      <c r="ES9">
        <v>3.8124923586322539</v>
      </c>
      <c r="ET9">
        <v>38.966322326660155</v>
      </c>
      <c r="EU9">
        <v>13.01124400497091</v>
      </c>
      <c r="EV9">
        <v>0.13241472370692434</v>
      </c>
      <c r="EW9">
        <v>395.00422627438758</v>
      </c>
      <c r="EX9">
        <v>5.6927125817517945</v>
      </c>
      <c r="EY9">
        <v>4.1157051306643568</v>
      </c>
      <c r="EZ9">
        <v>39.264214324951169</v>
      </c>
      <c r="FB9">
        <v>480.7122</v>
      </c>
      <c r="FC9">
        <v>168.40450000000001</v>
      </c>
      <c r="FD9">
        <v>529.05830000000003</v>
      </c>
      <c r="FE9">
        <v>3.5032000000000001</v>
      </c>
      <c r="FF9">
        <v>480.7122</v>
      </c>
      <c r="FG9">
        <v>46.335000000000001</v>
      </c>
      <c r="FH9">
        <v>2848</v>
      </c>
      <c r="FI9">
        <v>819.33924999999999</v>
      </c>
      <c r="FJ9">
        <v>103.1986</v>
      </c>
      <c r="FK9">
        <v>324.20794999999998</v>
      </c>
      <c r="FL9">
        <v>1.27755</v>
      </c>
      <c r="FM9">
        <v>819.33924999999999</v>
      </c>
      <c r="FN9">
        <v>10.241</v>
      </c>
      <c r="FO9">
        <v>2939.5</v>
      </c>
      <c r="FQ9">
        <v>15.1</v>
      </c>
      <c r="FR9">
        <v>1</v>
      </c>
      <c r="FS9">
        <v>268.89411570635895</v>
      </c>
      <c r="FT9">
        <v>0.83</v>
      </c>
      <c r="FU9">
        <v>30.7</v>
      </c>
      <c r="FV9">
        <v>1.7</v>
      </c>
      <c r="FW9">
        <v>359.62106273871439</v>
      </c>
      <c r="FX9">
        <v>0.82</v>
      </c>
      <c r="FY9">
        <v>22.124538023058797</v>
      </c>
      <c r="FZ9">
        <v>0.36973129567277802</v>
      </c>
      <c r="GA9">
        <v>318.89286371059353</v>
      </c>
      <c r="GB9">
        <v>11.535284669495642</v>
      </c>
      <c r="GC9">
        <v>3.1667047232321681</v>
      </c>
      <c r="GD9">
        <v>38.278846740722656</v>
      </c>
      <c r="GF9">
        <v>21.490117979215697</v>
      </c>
      <c r="GG9">
        <v>0.29332703865824367</v>
      </c>
      <c r="GH9">
        <v>282.13160400979041</v>
      </c>
      <c r="GI9">
        <v>13.204190119066434</v>
      </c>
      <c r="GJ9">
        <v>4.4337548993791422</v>
      </c>
      <c r="GK9">
        <v>41.457710266113281</v>
      </c>
      <c r="GM9">
        <v>88</v>
      </c>
      <c r="GN9">
        <v>94</v>
      </c>
      <c r="GO9">
        <v>122</v>
      </c>
      <c r="GP9">
        <v>91</v>
      </c>
      <c r="GQ9">
        <v>97</v>
      </c>
      <c r="GR9">
        <v>124</v>
      </c>
      <c r="GT9">
        <v>86</v>
      </c>
      <c r="GU9">
        <v>25</v>
      </c>
      <c r="GV9">
        <v>15</v>
      </c>
      <c r="GW9">
        <v>52.95</v>
      </c>
      <c r="GX9">
        <v>36.119999999999997</v>
      </c>
      <c r="GY9">
        <v>16.36</v>
      </c>
      <c r="GZ9">
        <v>21.65</v>
      </c>
      <c r="HB9">
        <v>75</v>
      </c>
      <c r="HC9">
        <v>8</v>
      </c>
      <c r="HD9">
        <v>5</v>
      </c>
      <c r="HE9">
        <v>32.67</v>
      </c>
      <c r="HF9">
        <v>20.58</v>
      </c>
      <c r="HG9">
        <v>10.57</v>
      </c>
      <c r="HH9">
        <v>16.05</v>
      </c>
    </row>
    <row r="10" spans="1:216" x14ac:dyDescent="0.25">
      <c r="A10" t="s">
        <v>203</v>
      </c>
      <c r="B10" s="1" t="s">
        <v>205</v>
      </c>
      <c r="C10" s="3" t="s">
        <v>222</v>
      </c>
      <c r="D10" s="3">
        <v>1</v>
      </c>
      <c r="E10" s="6">
        <v>33</v>
      </c>
      <c r="F10" s="6">
        <v>0</v>
      </c>
      <c r="G10" s="6">
        <v>3</v>
      </c>
      <c r="H10" s="6">
        <v>19.7</v>
      </c>
      <c r="I10" s="6">
        <v>0.5</v>
      </c>
      <c r="J10" s="6">
        <v>17.8</v>
      </c>
      <c r="K10" s="6">
        <v>0.1</v>
      </c>
      <c r="L10">
        <v>0.49399999999999999</v>
      </c>
      <c r="M10">
        <v>0.26</v>
      </c>
      <c r="N10">
        <v>0.17499999999999999</v>
      </c>
      <c r="O10">
        <v>6.2E-2</v>
      </c>
      <c r="P10">
        <v>11.421254107634699</v>
      </c>
      <c r="Q10">
        <v>0.26091456200856067</v>
      </c>
      <c r="R10">
        <v>241.95119025920368</v>
      </c>
      <c r="S10">
        <v>4.4625044341028266</v>
      </c>
      <c r="T10">
        <v>1.6952552606309279</v>
      </c>
      <c r="U10">
        <v>30.009037017822266</v>
      </c>
      <c r="V10">
        <v>157.161</v>
      </c>
      <c r="W10">
        <v>7.99</v>
      </c>
      <c r="X10">
        <v>25.101299999999998</v>
      </c>
      <c r="Y10">
        <v>0.50839999999999996</v>
      </c>
      <c r="Z10">
        <v>157.161</v>
      </c>
      <c r="AA10">
        <v>0.31900000000000001</v>
      </c>
      <c r="AB10">
        <v>622</v>
      </c>
      <c r="AC10" s="1" t="s">
        <v>205</v>
      </c>
      <c r="AD10" s="3" t="s">
        <v>223</v>
      </c>
      <c r="AE10" s="3">
        <v>1</v>
      </c>
      <c r="AF10">
        <v>40.4</v>
      </c>
      <c r="AG10">
        <v>7</v>
      </c>
      <c r="AH10">
        <v>15</v>
      </c>
      <c r="AI10">
        <v>24.8</v>
      </c>
      <c r="AJ10">
        <v>26</v>
      </c>
      <c r="AK10">
        <v>0.8</v>
      </c>
      <c r="AL10">
        <v>0.8</v>
      </c>
      <c r="AM10">
        <v>311.5</v>
      </c>
      <c r="AN10">
        <v>191.7</v>
      </c>
      <c r="AO10">
        <v>0.78</v>
      </c>
      <c r="AP10">
        <v>0.73</v>
      </c>
      <c r="AQ10">
        <v>6.3319999999999999</v>
      </c>
      <c r="AR10">
        <v>2.2069999999999999</v>
      </c>
      <c r="AS10">
        <v>6.3209999999999997</v>
      </c>
      <c r="AT10">
        <v>2.234</v>
      </c>
      <c r="AU10">
        <v>44</v>
      </c>
      <c r="AV10">
        <v>9</v>
      </c>
      <c r="AW10">
        <v>28</v>
      </c>
      <c r="AX10">
        <v>29.9</v>
      </c>
      <c r="AY10">
        <v>19.100000000000001</v>
      </c>
      <c r="AZ10">
        <v>0.7</v>
      </c>
      <c r="BA10">
        <v>0.6</v>
      </c>
      <c r="BB10">
        <v>458.2</v>
      </c>
      <c r="BC10">
        <v>417.9</v>
      </c>
      <c r="BD10">
        <v>0.83</v>
      </c>
      <c r="BE10">
        <v>0.83</v>
      </c>
      <c r="BF10">
        <v>8.2279999999999998</v>
      </c>
      <c r="BG10">
        <v>2.9169999999999998</v>
      </c>
      <c r="BH10">
        <v>3.0310000000000001</v>
      </c>
      <c r="BI10">
        <v>1.0109999999999999</v>
      </c>
      <c r="BJ10">
        <v>25.000333274089069</v>
      </c>
      <c r="BK10">
        <v>3.4676857789833496E-2</v>
      </c>
      <c r="BL10">
        <v>233.35442713834374</v>
      </c>
      <c r="BM10">
        <v>10.230461012579358</v>
      </c>
      <c r="BN10">
        <v>25.60648844431115</v>
      </c>
      <c r="BO10">
        <v>67.835888671874997</v>
      </c>
      <c r="BP10">
        <v>16.362584694631074</v>
      </c>
      <c r="BQ10">
        <v>2.0891135071829308E-2</v>
      </c>
      <c r="BR10">
        <v>237.94609958811839</v>
      </c>
      <c r="BS10">
        <v>6.4097217418809622</v>
      </c>
      <c r="BT10">
        <v>26.148295883430414</v>
      </c>
      <c r="BU10">
        <v>68.166683959960935</v>
      </c>
      <c r="BV10">
        <v>13.195907674519338</v>
      </c>
      <c r="BW10">
        <v>3.9245261710736661E-2</v>
      </c>
      <c r="BX10">
        <v>259.50916929251071</v>
      </c>
      <c r="BY10">
        <v>11.086736094121587</v>
      </c>
      <c r="BZ10">
        <v>23.523048122036506</v>
      </c>
      <c r="CA10">
        <v>66.437712097167974</v>
      </c>
      <c r="CB10">
        <v>22.516234347901918</v>
      </c>
      <c r="CC10">
        <v>5.6219827994014024E-2</v>
      </c>
      <c r="CD10">
        <v>274.57723348725762</v>
      </c>
      <c r="CE10">
        <v>12.810009463094559</v>
      </c>
      <c r="CF10">
        <v>19.492614466490384</v>
      </c>
      <c r="CG10">
        <v>62.878598785400392</v>
      </c>
      <c r="CH10">
        <v>584.74130000000002</v>
      </c>
      <c r="CI10">
        <v>78.6828</v>
      </c>
      <c r="CJ10">
        <v>247.1892</v>
      </c>
      <c r="CK10">
        <v>1.3455999999999999</v>
      </c>
      <c r="CL10">
        <v>584.74130000000002</v>
      </c>
      <c r="CM10">
        <v>8.3149999999999995</v>
      </c>
      <c r="CN10">
        <v>2220</v>
      </c>
      <c r="CO10">
        <v>546.45296666666673</v>
      </c>
      <c r="CP10">
        <v>72.009933333333336</v>
      </c>
      <c r="CQ10">
        <v>226.22579999999996</v>
      </c>
      <c r="CR10">
        <v>1.3192333333333333</v>
      </c>
      <c r="CS10">
        <v>546.45296666666673</v>
      </c>
      <c r="CT10">
        <v>7.4689999999999985</v>
      </c>
      <c r="CU10">
        <v>1861.6666666666667</v>
      </c>
      <c r="CW10">
        <v>71</v>
      </c>
      <c r="CX10">
        <v>10</v>
      </c>
      <c r="CY10">
        <v>37</v>
      </c>
      <c r="CZ10">
        <v>24.2</v>
      </c>
      <c r="DA10">
        <v>27.2</v>
      </c>
      <c r="DB10">
        <v>0.7</v>
      </c>
      <c r="DC10">
        <v>0.8</v>
      </c>
      <c r="DD10">
        <v>288.88629951598534</v>
      </c>
      <c r="DE10">
        <v>115.43312148791645</v>
      </c>
      <c r="DF10">
        <v>0.79</v>
      </c>
      <c r="DG10">
        <v>0.73</v>
      </c>
      <c r="DH10">
        <v>31.626000000000001</v>
      </c>
      <c r="DI10">
        <v>25.675000000000001</v>
      </c>
      <c r="DJ10">
        <v>15.612</v>
      </c>
      <c r="DK10">
        <v>10.512</v>
      </c>
      <c r="DL10">
        <v>66.7</v>
      </c>
      <c r="DM10">
        <v>32</v>
      </c>
      <c r="DN10">
        <v>109</v>
      </c>
      <c r="DO10">
        <v>40.799999999999997</v>
      </c>
      <c r="DP10">
        <v>33.1</v>
      </c>
      <c r="DQ10">
        <v>0.8</v>
      </c>
      <c r="DR10">
        <v>0.8</v>
      </c>
      <c r="DS10">
        <v>295.43214266355477</v>
      </c>
      <c r="DT10">
        <v>321.07768789854686</v>
      </c>
      <c r="DU10">
        <v>0.83</v>
      </c>
      <c r="DV10">
        <v>0.83</v>
      </c>
      <c r="DW10">
        <v>49.039000000000001</v>
      </c>
      <c r="DX10">
        <v>27.093</v>
      </c>
      <c r="DY10">
        <v>18.917000000000002</v>
      </c>
      <c r="DZ10">
        <v>8.9169999999999998</v>
      </c>
      <c r="EB10">
        <v>27.299280896296303</v>
      </c>
      <c r="EC10">
        <v>4.1937501944997416E-2</v>
      </c>
      <c r="ED10">
        <v>224.23814280250545</v>
      </c>
      <c r="EE10">
        <v>13.813288697332538</v>
      </c>
      <c r="EF10">
        <v>27.045343565694765</v>
      </c>
      <c r="EG10">
        <v>69.320960998535156</v>
      </c>
      <c r="EH10">
        <v>13.195907674519338</v>
      </c>
      <c r="EI10">
        <v>3.9245261710736661E-2</v>
      </c>
      <c r="EJ10">
        <v>259.50916929251071</v>
      </c>
      <c r="EK10">
        <v>11.086736094121587</v>
      </c>
      <c r="EL10">
        <v>23.523048122036506</v>
      </c>
      <c r="EM10">
        <v>66.437712097167974</v>
      </c>
      <c r="EO10">
        <v>21.044346695098433</v>
      </c>
      <c r="EP10">
        <v>0.25252277728384387</v>
      </c>
      <c r="EQ10">
        <v>392.12239115494299</v>
      </c>
      <c r="ER10">
        <v>9.4957832438375469</v>
      </c>
      <c r="ES10">
        <v>3.6932357122838999</v>
      </c>
      <c r="ET10">
        <v>38.263341267903648</v>
      </c>
      <c r="EU10">
        <v>14.869559930958275</v>
      </c>
      <c r="EV10">
        <v>0.13710404075537005</v>
      </c>
      <c r="EW10">
        <v>396.74419147459628</v>
      </c>
      <c r="EX10">
        <v>5.5542242911861948</v>
      </c>
      <c r="EY10">
        <v>3.8908895031118247</v>
      </c>
      <c r="EZ10">
        <v>38.625570678710936</v>
      </c>
      <c r="FB10">
        <v>281.16129999999998</v>
      </c>
      <c r="FC10">
        <v>154.91579999999999</v>
      </c>
      <c r="FD10">
        <v>486.68239999999997</v>
      </c>
      <c r="FE10">
        <v>5.5099</v>
      </c>
      <c r="FF10">
        <v>281.16129999999998</v>
      </c>
      <c r="FG10">
        <v>67.039000000000001</v>
      </c>
      <c r="FH10">
        <v>2692</v>
      </c>
      <c r="FI10">
        <v>1111.8686</v>
      </c>
      <c r="FJ10">
        <v>182.04509999999999</v>
      </c>
      <c r="FK10">
        <v>571.91160000000002</v>
      </c>
      <c r="FL10">
        <v>1.6373</v>
      </c>
      <c r="FM10">
        <v>1111.8686</v>
      </c>
      <c r="FN10">
        <v>23.41</v>
      </c>
      <c r="FO10">
        <v>5510</v>
      </c>
      <c r="FQ10">
        <v>21.5</v>
      </c>
      <c r="FR10">
        <v>0.8</v>
      </c>
      <c r="FS10">
        <v>260.39627504105778</v>
      </c>
      <c r="FT10">
        <v>0.82</v>
      </c>
      <c r="FU10">
        <v>28.5</v>
      </c>
      <c r="FV10">
        <v>1.2</v>
      </c>
      <c r="FW10">
        <v>333.60180243703246</v>
      </c>
      <c r="FX10">
        <v>0.83</v>
      </c>
      <c r="FY10">
        <v>29.902706106457881</v>
      </c>
      <c r="FZ10">
        <v>0.66139294994549402</v>
      </c>
      <c r="GA10">
        <v>332.54557498863124</v>
      </c>
      <c r="GB10">
        <v>15.340562324656</v>
      </c>
      <c r="GC10">
        <v>2.5247218585640305</v>
      </c>
      <c r="GD10">
        <v>37.380287170410156</v>
      </c>
      <c r="GF10">
        <v>15.489233880688834</v>
      </c>
      <c r="GG10">
        <v>0.26828381754413544</v>
      </c>
      <c r="GH10">
        <v>316.41049708618368</v>
      </c>
      <c r="GI10">
        <v>11.334993820132642</v>
      </c>
      <c r="GJ10">
        <v>4.1451816063751741</v>
      </c>
      <c r="GK10">
        <v>40.049507141113281</v>
      </c>
      <c r="GM10">
        <v>89</v>
      </c>
      <c r="GN10">
        <v>94</v>
      </c>
      <c r="GO10">
        <v>122</v>
      </c>
      <c r="GP10">
        <v>93</v>
      </c>
      <c r="GQ10">
        <v>97</v>
      </c>
      <c r="GR10">
        <v>124</v>
      </c>
      <c r="GT10">
        <v>79</v>
      </c>
      <c r="GU10">
        <v>25</v>
      </c>
      <c r="GV10">
        <v>12</v>
      </c>
      <c r="GW10">
        <v>51.112000000000002</v>
      </c>
      <c r="GX10">
        <v>38.113199999999999</v>
      </c>
      <c r="GY10">
        <v>16.37</v>
      </c>
      <c r="GZ10">
        <v>21.65</v>
      </c>
      <c r="HB10">
        <v>70</v>
      </c>
      <c r="HC10">
        <v>11</v>
      </c>
      <c r="HD10">
        <v>6</v>
      </c>
      <c r="HE10">
        <v>39.76</v>
      </c>
      <c r="HF10">
        <v>23.97</v>
      </c>
      <c r="HG10">
        <v>10.15</v>
      </c>
      <c r="HH10">
        <v>14.12</v>
      </c>
    </row>
    <row r="11" spans="1:216" x14ac:dyDescent="0.25">
      <c r="B11" s="1" t="s">
        <v>205</v>
      </c>
      <c r="C11" s="3" t="s">
        <v>222</v>
      </c>
      <c r="D11" s="3">
        <v>2</v>
      </c>
      <c r="E11" s="6">
        <v>28</v>
      </c>
      <c r="F11" s="6">
        <v>0</v>
      </c>
      <c r="G11" s="6">
        <v>3</v>
      </c>
      <c r="H11" s="6">
        <v>15</v>
      </c>
      <c r="I11" s="6">
        <v>0.1</v>
      </c>
      <c r="J11" s="6">
        <v>10.7</v>
      </c>
      <c r="K11" s="6">
        <v>0.1</v>
      </c>
      <c r="L11">
        <v>0.18</v>
      </c>
      <c r="M11">
        <v>0.215</v>
      </c>
      <c r="N11">
        <v>5.3999999999999999E-2</v>
      </c>
      <c r="O11">
        <v>4.4999999999999998E-2</v>
      </c>
      <c r="P11">
        <v>11.736635734912371</v>
      </c>
      <c r="Q11">
        <v>0.26704654060437311</v>
      </c>
      <c r="R11">
        <v>241.51282187642522</v>
      </c>
      <c r="S11">
        <v>4.5484141235273352</v>
      </c>
      <c r="T11">
        <v>1.6902553261666005</v>
      </c>
      <c r="U11">
        <v>29.998941421508789</v>
      </c>
      <c r="V11">
        <v>153.88290000000001</v>
      </c>
      <c r="W11">
        <v>5.6516999999999999</v>
      </c>
      <c r="X11">
        <v>17.755400000000002</v>
      </c>
      <c r="Y11">
        <v>0.36730000000000002</v>
      </c>
      <c r="Z11">
        <v>153.88290000000001</v>
      </c>
      <c r="AA11">
        <v>0.16300000000000001</v>
      </c>
      <c r="AB11">
        <v>633</v>
      </c>
      <c r="AD11" s="3" t="s">
        <v>223</v>
      </c>
      <c r="AE11" s="3">
        <v>2</v>
      </c>
      <c r="AF11">
        <v>45.6</v>
      </c>
      <c r="AG11">
        <v>7</v>
      </c>
      <c r="AH11">
        <v>16</v>
      </c>
      <c r="AI11">
        <v>30.5</v>
      </c>
      <c r="AJ11">
        <v>26.3</v>
      </c>
      <c r="AK11">
        <v>1</v>
      </c>
      <c r="AL11">
        <v>0.7</v>
      </c>
      <c r="AM11">
        <v>306.8</v>
      </c>
      <c r="AN11">
        <v>207.5</v>
      </c>
      <c r="AO11">
        <v>0.7</v>
      </c>
      <c r="AP11">
        <v>0.68</v>
      </c>
      <c r="AQ11">
        <v>8.1229999999999993</v>
      </c>
      <c r="AR11">
        <v>2.1190000000000002</v>
      </c>
      <c r="AS11">
        <v>5.0039999999999996</v>
      </c>
      <c r="AT11">
        <v>1.9870000000000001</v>
      </c>
      <c r="AU11">
        <v>48.3</v>
      </c>
      <c r="AV11">
        <v>12</v>
      </c>
      <c r="AW11">
        <v>38</v>
      </c>
      <c r="AX11">
        <v>30.8</v>
      </c>
      <c r="AY11">
        <v>25.2</v>
      </c>
      <c r="AZ11">
        <v>1</v>
      </c>
      <c r="BA11">
        <v>0.8</v>
      </c>
      <c r="BB11">
        <v>428.4</v>
      </c>
      <c r="BC11">
        <v>408.7</v>
      </c>
      <c r="BD11">
        <v>0.85</v>
      </c>
      <c r="BE11">
        <v>0.84</v>
      </c>
      <c r="BF11">
        <v>13.42</v>
      </c>
      <c r="BG11">
        <v>6.7149999999999999</v>
      </c>
      <c r="BH11">
        <v>4.5209999999999999</v>
      </c>
      <c r="BI11">
        <v>1.415</v>
      </c>
      <c r="BJ11">
        <v>21.967712597263006</v>
      </c>
      <c r="BK11">
        <v>3.92537348300133E-2</v>
      </c>
      <c r="BL11">
        <v>263.42797714479894</v>
      </c>
      <c r="BM11">
        <v>9.4295037031009663</v>
      </c>
      <c r="BN11">
        <v>20.440348582490948</v>
      </c>
      <c r="BO11">
        <v>63.766381072998044</v>
      </c>
      <c r="BP11">
        <v>11.99225032305135</v>
      </c>
      <c r="BQ11">
        <v>1.3895674251162924E-2</v>
      </c>
      <c r="BR11">
        <v>218.46176661440467</v>
      </c>
      <c r="BS11">
        <v>5.0402871627838834</v>
      </c>
      <c r="BT11">
        <v>30.041650366440876</v>
      </c>
      <c r="BU11">
        <v>70.974542236328119</v>
      </c>
      <c r="BV11">
        <v>21.57683175654098</v>
      </c>
      <c r="BW11">
        <v>5.9284075271937395E-2</v>
      </c>
      <c r="BX11">
        <v>272.33277288872233</v>
      </c>
      <c r="BY11">
        <v>13.625394660928862</v>
      </c>
      <c r="BZ11">
        <v>19.636896870516161</v>
      </c>
      <c r="CA11">
        <v>63.136280822753903</v>
      </c>
      <c r="CB11">
        <v>16.777254958073406</v>
      </c>
      <c r="CC11">
        <v>5.2360667556516402E-2</v>
      </c>
      <c r="CD11">
        <v>277.43405789512974</v>
      </c>
      <c r="CE11">
        <v>12.132692903350948</v>
      </c>
      <c r="CF11">
        <v>19.77661872099052</v>
      </c>
      <c r="CG11">
        <v>63.132640838623047</v>
      </c>
      <c r="CH11">
        <v>553.96579999999994</v>
      </c>
      <c r="CI11">
        <v>68.318200000000004</v>
      </c>
      <c r="CJ11">
        <v>214.62799999999999</v>
      </c>
      <c r="CK11">
        <v>1.2333000000000001</v>
      </c>
      <c r="CL11">
        <v>553.96579999999994</v>
      </c>
      <c r="CM11">
        <v>6.617</v>
      </c>
      <c r="CN11">
        <v>1834</v>
      </c>
      <c r="CO11">
        <v>288.95166666666665</v>
      </c>
      <c r="CP11">
        <v>24.976200000000002</v>
      </c>
      <c r="CQ11">
        <v>78.465033333333324</v>
      </c>
      <c r="CR11">
        <v>0.86240000000000006</v>
      </c>
      <c r="CS11">
        <v>288.95166666666665</v>
      </c>
      <c r="CT11">
        <v>1.6963333333333335</v>
      </c>
      <c r="CU11">
        <v>863.33333333333337</v>
      </c>
      <c r="CW11">
        <v>72.599999999999994</v>
      </c>
      <c r="CX11">
        <v>10</v>
      </c>
      <c r="CY11">
        <v>38</v>
      </c>
      <c r="CZ11">
        <v>25.1</v>
      </c>
      <c r="DA11">
        <v>26</v>
      </c>
      <c r="DB11">
        <v>0.7</v>
      </c>
      <c r="DC11">
        <v>0.8</v>
      </c>
      <c r="DD11">
        <v>275.61951264135126</v>
      </c>
      <c r="DE11">
        <v>166.40886548466261</v>
      </c>
      <c r="DF11">
        <v>0.79</v>
      </c>
      <c r="DG11">
        <v>0.68</v>
      </c>
      <c r="DH11">
        <v>28.614000000000001</v>
      </c>
      <c r="DI11">
        <v>24.986999999999998</v>
      </c>
      <c r="DJ11">
        <v>15.416</v>
      </c>
      <c r="DK11">
        <v>9.5649999999999995</v>
      </c>
      <c r="DL11">
        <v>62.9</v>
      </c>
      <c r="DM11">
        <v>28</v>
      </c>
      <c r="DN11">
        <v>92</v>
      </c>
      <c r="DO11">
        <v>36.200000000000003</v>
      </c>
      <c r="DP11">
        <v>31.2</v>
      </c>
      <c r="DQ11">
        <v>0.8</v>
      </c>
      <c r="DR11">
        <v>0.8</v>
      </c>
      <c r="DS11">
        <v>270.58141863344827</v>
      </c>
      <c r="DT11">
        <v>313.15203151956922</v>
      </c>
      <c r="DU11">
        <v>0.84</v>
      </c>
      <c r="DV11">
        <v>0.82</v>
      </c>
      <c r="DW11">
        <v>46.720999999999997</v>
      </c>
      <c r="DX11">
        <v>27.015000000000001</v>
      </c>
      <c r="DY11">
        <v>17.562000000000001</v>
      </c>
      <c r="DZ11">
        <v>9.3239999999999998</v>
      </c>
      <c r="EB11">
        <v>22.516234347901918</v>
      </c>
      <c r="EC11">
        <v>5.6219827994014024E-2</v>
      </c>
      <c r="ED11">
        <v>274.57723348725762</v>
      </c>
      <c r="EE11">
        <v>12.810009463094559</v>
      </c>
      <c r="EF11">
        <v>19.492614466490384</v>
      </c>
      <c r="EG11">
        <v>62.878598785400392</v>
      </c>
      <c r="EH11">
        <v>21.57683175654098</v>
      </c>
      <c r="EI11">
        <v>5.9284075271937395E-2</v>
      </c>
      <c r="EJ11">
        <v>272.33277288872233</v>
      </c>
      <c r="EK11">
        <v>13.625394660928862</v>
      </c>
      <c r="EL11">
        <v>19.636896870516161</v>
      </c>
      <c r="EM11">
        <v>63.136280822753903</v>
      </c>
      <c r="EO11">
        <v>20.410713640154725</v>
      </c>
      <c r="EP11">
        <v>0.26850605720887366</v>
      </c>
      <c r="EQ11">
        <v>390.30578943772116</v>
      </c>
      <c r="ER11">
        <v>9.6330146421634915</v>
      </c>
      <c r="ES11">
        <v>3.5443798755309714</v>
      </c>
      <c r="ET11">
        <v>38.200081634521482</v>
      </c>
      <c r="EU11">
        <v>16.280552046025626</v>
      </c>
      <c r="EV11">
        <v>0.17399415998335963</v>
      </c>
      <c r="EW11">
        <v>393.6633252091421</v>
      </c>
      <c r="EX11">
        <v>7.0657026337927817</v>
      </c>
      <c r="EY11">
        <v>3.927283944488889</v>
      </c>
      <c r="EZ11">
        <v>38.958183288574219</v>
      </c>
      <c r="FB11">
        <v>497.9742</v>
      </c>
      <c r="FC11">
        <v>122.0184</v>
      </c>
      <c r="FD11">
        <v>383.33199999999999</v>
      </c>
      <c r="FE11">
        <v>2.4502999999999999</v>
      </c>
      <c r="FF11">
        <v>497.9742</v>
      </c>
      <c r="FG11">
        <v>23.481999999999999</v>
      </c>
      <c r="FH11">
        <v>3645</v>
      </c>
      <c r="FI11">
        <v>1443.2561000000001</v>
      </c>
      <c r="FJ11">
        <v>147.744</v>
      </c>
      <c r="FK11">
        <v>464.15159999999997</v>
      </c>
      <c r="FL11">
        <v>1.0237000000000001</v>
      </c>
      <c r="FM11">
        <v>1443.2561000000001</v>
      </c>
      <c r="FN11">
        <v>11.879</v>
      </c>
      <c r="FO11">
        <v>4191</v>
      </c>
      <c r="FQ11">
        <v>23.1</v>
      </c>
      <c r="FR11">
        <v>0.8</v>
      </c>
      <c r="FS11">
        <v>263.80784043568468</v>
      </c>
      <c r="FT11">
        <v>0.81</v>
      </c>
      <c r="FU11">
        <v>28.7</v>
      </c>
      <c r="FV11">
        <v>1.2</v>
      </c>
      <c r="FW11">
        <v>335.15422333859686</v>
      </c>
      <c r="FX11">
        <v>0.83</v>
      </c>
      <c r="FY11">
        <v>29.847690082695799</v>
      </c>
      <c r="FZ11">
        <v>0.65979552780453699</v>
      </c>
      <c r="GA11">
        <v>332.54080710914718</v>
      </c>
      <c r="GB11">
        <v>15.32645065008081</v>
      </c>
      <c r="GC11">
        <v>2.5276119057026101</v>
      </c>
      <c r="GD11">
        <v>37.385398864746094</v>
      </c>
      <c r="GF11">
        <v>15.489233880688834</v>
      </c>
      <c r="GG11">
        <v>0.26828381754413544</v>
      </c>
      <c r="GH11">
        <v>316.41049708618368</v>
      </c>
      <c r="GI11">
        <v>11.334993820132642</v>
      </c>
      <c r="GJ11">
        <v>4.1451816063751741</v>
      </c>
      <c r="GK11">
        <v>40.049507141113281</v>
      </c>
      <c r="GM11">
        <v>89</v>
      </c>
      <c r="GN11">
        <v>94</v>
      </c>
      <c r="GO11">
        <v>122</v>
      </c>
      <c r="GP11">
        <v>93</v>
      </c>
      <c r="GQ11">
        <v>97</v>
      </c>
      <c r="GR11">
        <v>124</v>
      </c>
      <c r="GT11">
        <v>85</v>
      </c>
      <c r="GU11">
        <v>22</v>
      </c>
      <c r="GV11">
        <v>10</v>
      </c>
      <c r="GW11">
        <v>50.451999999999998</v>
      </c>
      <c r="GX11">
        <v>37.65</v>
      </c>
      <c r="GY11">
        <v>15.95</v>
      </c>
      <c r="GZ11">
        <v>20.99</v>
      </c>
      <c r="HB11">
        <v>67</v>
      </c>
      <c r="HC11">
        <v>10</v>
      </c>
      <c r="HD11">
        <v>5</v>
      </c>
      <c r="HE11">
        <v>39.119999999999997</v>
      </c>
      <c r="HF11">
        <v>22.65</v>
      </c>
      <c r="HG11">
        <v>9.8699999999999992</v>
      </c>
      <c r="HH11">
        <v>13.98</v>
      </c>
    </row>
    <row r="12" spans="1:216" x14ac:dyDescent="0.25">
      <c r="B12" s="1" t="s">
        <v>205</v>
      </c>
      <c r="C12" s="3" t="s">
        <v>222</v>
      </c>
      <c r="D12" s="3">
        <v>3</v>
      </c>
      <c r="E12" s="6">
        <v>31</v>
      </c>
      <c r="F12" s="6">
        <v>0</v>
      </c>
      <c r="G12" s="6">
        <v>3</v>
      </c>
      <c r="H12" s="6">
        <v>18.399999999999999</v>
      </c>
      <c r="I12" s="6">
        <v>0.2</v>
      </c>
      <c r="J12" s="6">
        <v>15.7</v>
      </c>
      <c r="K12" s="6">
        <v>0.15</v>
      </c>
      <c r="L12">
        <v>0.253</v>
      </c>
      <c r="M12">
        <v>0.21</v>
      </c>
      <c r="N12">
        <v>0.109</v>
      </c>
      <c r="O12">
        <v>0.11</v>
      </c>
      <c r="P12">
        <v>11.882369010898906</v>
      </c>
      <c r="Q12">
        <v>0.27183435370448727</v>
      </c>
      <c r="R12">
        <v>241.82736429360102</v>
      </c>
      <c r="S12">
        <v>4.619436767087592</v>
      </c>
      <c r="T12">
        <v>1.687980273879881</v>
      </c>
      <c r="U12">
        <v>29.999029159545898</v>
      </c>
      <c r="V12">
        <v>116.07259999999999</v>
      </c>
      <c r="W12">
        <v>5.4812000000000003</v>
      </c>
      <c r="X12">
        <v>17.2197</v>
      </c>
      <c r="Y12">
        <v>0.47220000000000001</v>
      </c>
      <c r="Z12">
        <v>116.07259999999999</v>
      </c>
      <c r="AA12">
        <v>0.20300000000000001</v>
      </c>
      <c r="AB12">
        <v>611</v>
      </c>
      <c r="AD12" s="3" t="s">
        <v>223</v>
      </c>
      <c r="AE12" s="3">
        <v>3</v>
      </c>
      <c r="AF12">
        <v>48.6</v>
      </c>
      <c r="AG12">
        <v>8</v>
      </c>
      <c r="AH12">
        <v>23</v>
      </c>
      <c r="AI12">
        <v>31.7</v>
      </c>
      <c r="AJ12">
        <v>20.5</v>
      </c>
      <c r="AK12">
        <v>0.9</v>
      </c>
      <c r="AL12">
        <v>0.6</v>
      </c>
      <c r="AM12">
        <v>373.8</v>
      </c>
      <c r="AN12">
        <v>210.6</v>
      </c>
      <c r="AO12">
        <v>0.78</v>
      </c>
      <c r="AP12">
        <v>0.69</v>
      </c>
      <c r="AQ12">
        <v>9.3350000000000009</v>
      </c>
      <c r="AR12">
        <v>2.3370000000000002</v>
      </c>
      <c r="AS12">
        <v>6.8419999999999996</v>
      </c>
      <c r="AT12">
        <v>2.63</v>
      </c>
      <c r="AU12">
        <v>46</v>
      </c>
      <c r="AV12">
        <v>6</v>
      </c>
      <c r="AW12">
        <v>17</v>
      </c>
      <c r="AX12">
        <v>29.7</v>
      </c>
      <c r="AY12">
        <v>26.7</v>
      </c>
      <c r="AZ12">
        <v>0.9</v>
      </c>
      <c r="BA12">
        <v>0.8</v>
      </c>
      <c r="BB12">
        <v>415.8</v>
      </c>
      <c r="BC12">
        <v>416.7</v>
      </c>
      <c r="BD12">
        <v>0.82</v>
      </c>
      <c r="BE12">
        <v>0.82</v>
      </c>
      <c r="BF12">
        <v>7.234</v>
      </c>
      <c r="BG12">
        <v>2.7650000000000001</v>
      </c>
      <c r="BH12">
        <v>2.6230000000000002</v>
      </c>
      <c r="BI12">
        <v>1.976</v>
      </c>
      <c r="BJ12">
        <v>24.952058340798857</v>
      </c>
      <c r="BK12">
        <v>4.8061543840036615E-2</v>
      </c>
      <c r="BL12">
        <v>254.31785128438872</v>
      </c>
      <c r="BM12">
        <v>12.005366247042746</v>
      </c>
      <c r="BN12">
        <v>21.737764664142002</v>
      </c>
      <c r="BO12">
        <v>64.735067749023443</v>
      </c>
      <c r="BP12">
        <v>6.9853661322902685</v>
      </c>
      <c r="BQ12">
        <v>9.9620925775621531E-3</v>
      </c>
      <c r="BR12">
        <v>270.11179490088836</v>
      </c>
      <c r="BS12">
        <v>2.6146152554860946</v>
      </c>
      <c r="BT12">
        <v>22.068480583632532</v>
      </c>
      <c r="BU12">
        <v>64.883290100097653</v>
      </c>
      <c r="BV12">
        <v>23.04154074048034</v>
      </c>
      <c r="BW12">
        <v>5.1923687572880281E-2</v>
      </c>
      <c r="BX12">
        <v>265.72904176435617</v>
      </c>
      <c r="BY12">
        <v>12.08852437926439</v>
      </c>
      <c r="BZ12">
        <v>19.829648850610589</v>
      </c>
      <c r="CA12">
        <v>63.432917785644534</v>
      </c>
      <c r="CB12">
        <v>17.040497388297542</v>
      </c>
      <c r="CC12">
        <v>2.7388412301631294E-2</v>
      </c>
      <c r="CD12">
        <v>263.11821200074752</v>
      </c>
      <c r="CE12">
        <v>7.1305069486800221</v>
      </c>
      <c r="CF12">
        <v>21.866160723355065</v>
      </c>
      <c r="CG12">
        <v>64.91891784667969</v>
      </c>
      <c r="CH12">
        <v>500.65179999999998</v>
      </c>
      <c r="CI12">
        <v>69.028800000000004</v>
      </c>
      <c r="CJ12">
        <v>216.86019999999999</v>
      </c>
      <c r="CK12">
        <v>1.3788</v>
      </c>
      <c r="CL12">
        <v>500.65179999999998</v>
      </c>
      <c r="CM12">
        <v>7.4749999999999996</v>
      </c>
      <c r="CN12">
        <v>1531</v>
      </c>
      <c r="CW12">
        <v>70.5</v>
      </c>
      <c r="CX12">
        <v>11</v>
      </c>
      <c r="CY12">
        <v>41</v>
      </c>
      <c r="CZ12">
        <v>26.5</v>
      </c>
      <c r="DA12">
        <v>24.3</v>
      </c>
      <c r="DB12">
        <v>0.7</v>
      </c>
      <c r="DC12">
        <v>0.8</v>
      </c>
      <c r="DD12">
        <v>265.50736704822253</v>
      </c>
      <c r="DE12">
        <v>156.2593739873243</v>
      </c>
      <c r="DF12">
        <v>0.79</v>
      </c>
      <c r="DG12">
        <v>0.69</v>
      </c>
      <c r="DH12">
        <v>31.241</v>
      </c>
      <c r="DI12">
        <v>25.611999999999998</v>
      </c>
      <c r="DJ12">
        <v>14.786</v>
      </c>
      <c r="DK12">
        <v>9.5210000000000008</v>
      </c>
      <c r="DL12">
        <v>69.7</v>
      </c>
      <c r="DM12">
        <v>31</v>
      </c>
      <c r="DN12">
        <v>103</v>
      </c>
      <c r="DO12">
        <v>36</v>
      </c>
      <c r="DP12">
        <v>35.700000000000003</v>
      </c>
      <c r="DQ12">
        <v>0.8</v>
      </c>
      <c r="DR12">
        <v>0.8</v>
      </c>
      <c r="DS12">
        <v>290.52808376429698</v>
      </c>
      <c r="DT12">
        <v>324.22649161672069</v>
      </c>
      <c r="DU12">
        <v>0.84</v>
      </c>
      <c r="DV12">
        <v>0.82</v>
      </c>
      <c r="DW12">
        <v>47.573</v>
      </c>
      <c r="DX12">
        <v>29.614000000000001</v>
      </c>
      <c r="DY12">
        <v>17.413</v>
      </c>
      <c r="DZ12">
        <v>9.6519999999999992</v>
      </c>
      <c r="EB12">
        <v>23.04154074048034</v>
      </c>
      <c r="EC12">
        <v>5.1923687572880281E-2</v>
      </c>
      <c r="ED12">
        <v>265.72904176435617</v>
      </c>
      <c r="EE12">
        <v>12.08852437926439</v>
      </c>
      <c r="EF12">
        <v>19.829648850610589</v>
      </c>
      <c r="EG12">
        <v>63.432917785644534</v>
      </c>
      <c r="EH12">
        <v>16.777254958073406</v>
      </c>
      <c r="EI12">
        <v>5.2360667556516402E-2</v>
      </c>
      <c r="EJ12">
        <v>277.43405789512974</v>
      </c>
      <c r="EK12">
        <v>12.132692903350948</v>
      </c>
      <c r="EL12">
        <v>19.77661872099052</v>
      </c>
      <c r="EM12">
        <v>63.132640838623047</v>
      </c>
      <c r="EO12">
        <v>20.054753251171725</v>
      </c>
      <c r="EP12">
        <v>0.2089918132661448</v>
      </c>
      <c r="EQ12">
        <v>388.78573372383227</v>
      </c>
      <c r="ER12">
        <v>8.3440067880924289</v>
      </c>
      <c r="ES12">
        <v>3.885848267033623</v>
      </c>
      <c r="ET12">
        <v>38.878614044189455</v>
      </c>
      <c r="EU12">
        <v>14.855330400072527</v>
      </c>
      <c r="EV12">
        <v>0.13931843790883811</v>
      </c>
      <c r="EW12">
        <v>394.77984234801357</v>
      </c>
      <c r="EX12">
        <v>5.8391832392166485</v>
      </c>
      <c r="EY12">
        <v>4.0212618306680827</v>
      </c>
      <c r="EZ12">
        <v>38.954463195800784</v>
      </c>
      <c r="FB12">
        <v>694.69640000000004</v>
      </c>
      <c r="FC12">
        <v>204.2527</v>
      </c>
      <c r="FD12">
        <v>641.67859999999996</v>
      </c>
      <c r="FE12">
        <v>2.9401999999999999</v>
      </c>
      <c r="FF12">
        <v>694.69640000000004</v>
      </c>
      <c r="FG12">
        <v>47.165999999999997</v>
      </c>
      <c r="FH12">
        <v>5221</v>
      </c>
      <c r="FI12">
        <v>970.70079999999996</v>
      </c>
      <c r="FJ12">
        <v>99.380399999999995</v>
      </c>
      <c r="FK12">
        <v>312.21269999999998</v>
      </c>
      <c r="FL12">
        <v>1.0238</v>
      </c>
      <c r="FM12">
        <v>970.70079999999996</v>
      </c>
      <c r="FN12">
        <v>7.9909999999999997</v>
      </c>
      <c r="FO12">
        <v>3886</v>
      </c>
      <c r="FQ12">
        <v>22.3</v>
      </c>
      <c r="FR12">
        <v>0.8</v>
      </c>
      <c r="FS12">
        <v>275.61951264135126</v>
      </c>
      <c r="FT12">
        <v>0.82</v>
      </c>
      <c r="FU12">
        <v>29.3</v>
      </c>
      <c r="FV12">
        <v>1.2</v>
      </c>
      <c r="FW12">
        <v>344.40992406449317</v>
      </c>
      <c r="FX12">
        <v>0.83</v>
      </c>
      <c r="FY12">
        <v>29.726567626427837</v>
      </c>
      <c r="FZ12">
        <v>0.65824168891283463</v>
      </c>
      <c r="GA12">
        <v>332.74319054284103</v>
      </c>
      <c r="GB12">
        <v>15.31059900181592</v>
      </c>
      <c r="GC12">
        <v>2.530088381834299</v>
      </c>
      <c r="GD12">
        <v>37.389163970947266</v>
      </c>
      <c r="GF12">
        <v>15.593713574071321</v>
      </c>
      <c r="GG12">
        <v>0.26782164481918885</v>
      </c>
      <c r="GH12">
        <v>315.60010451161509</v>
      </c>
      <c r="GI12">
        <v>11.318514658800114</v>
      </c>
      <c r="GJ12">
        <v>4.1459285686212564</v>
      </c>
      <c r="GK12">
        <v>40.050117492675781</v>
      </c>
      <c r="GM12">
        <v>89</v>
      </c>
      <c r="GN12">
        <v>94</v>
      </c>
      <c r="GO12">
        <v>122</v>
      </c>
      <c r="GP12">
        <v>93</v>
      </c>
      <c r="GQ12">
        <v>97</v>
      </c>
      <c r="GR12">
        <v>124</v>
      </c>
      <c r="GT12">
        <v>79</v>
      </c>
      <c r="GU12">
        <v>21</v>
      </c>
      <c r="GV12">
        <v>9</v>
      </c>
      <c r="GW12">
        <v>49.116</v>
      </c>
      <c r="GX12">
        <v>36.75</v>
      </c>
      <c r="GY12">
        <v>15.11</v>
      </c>
      <c r="GZ12">
        <v>20.65</v>
      </c>
      <c r="HB12">
        <v>73</v>
      </c>
      <c r="HC12">
        <v>10</v>
      </c>
      <c r="HD12">
        <v>5</v>
      </c>
      <c r="HE12">
        <v>38.18</v>
      </c>
      <c r="HF12">
        <v>22.95</v>
      </c>
      <c r="HG12">
        <v>9.65</v>
      </c>
      <c r="HH12">
        <v>13.76</v>
      </c>
    </row>
    <row r="13" spans="1:216" x14ac:dyDescent="0.25">
      <c r="A13" t="s">
        <v>206</v>
      </c>
      <c r="B13" s="1" t="s">
        <v>207</v>
      </c>
      <c r="C13" s="3" t="s">
        <v>222</v>
      </c>
      <c r="D13" s="3">
        <v>1</v>
      </c>
      <c r="E13" s="6">
        <v>29</v>
      </c>
      <c r="F13" s="6">
        <v>0</v>
      </c>
      <c r="G13" s="6">
        <v>4</v>
      </c>
      <c r="H13" s="6">
        <v>13.1</v>
      </c>
      <c r="I13" s="6">
        <v>0.35</v>
      </c>
      <c r="J13" s="6">
        <v>12.7</v>
      </c>
      <c r="K13" s="6">
        <v>0.2</v>
      </c>
      <c r="L13">
        <v>0.245</v>
      </c>
      <c r="M13">
        <v>0.19</v>
      </c>
      <c r="N13">
        <v>0.12</v>
      </c>
      <c r="O13">
        <v>7.5999999999999998E-2</v>
      </c>
      <c r="P13">
        <v>11.756422539483697</v>
      </c>
      <c r="Q13">
        <v>0.28729512991092859</v>
      </c>
      <c r="R13">
        <v>246.17672543491994</v>
      </c>
      <c r="S13">
        <v>4.8383522384043642</v>
      </c>
      <c r="T13">
        <v>1.6779124610169909</v>
      </c>
      <c r="U13">
        <v>29.97871208190918</v>
      </c>
      <c r="V13">
        <v>170.20910000000001</v>
      </c>
      <c r="W13">
        <v>11.344200000000001</v>
      </c>
      <c r="X13">
        <v>35.6387</v>
      </c>
      <c r="Y13">
        <v>0.66649999999999998</v>
      </c>
      <c r="Z13">
        <v>170.20910000000001</v>
      </c>
      <c r="AA13">
        <v>0.59399999999999997</v>
      </c>
      <c r="AB13">
        <v>956</v>
      </c>
      <c r="AC13" s="1" t="s">
        <v>207</v>
      </c>
      <c r="AD13" s="3" t="s">
        <v>223</v>
      </c>
      <c r="AE13" s="3">
        <v>1</v>
      </c>
      <c r="AF13">
        <v>39.700000000000003</v>
      </c>
      <c r="AG13">
        <v>5</v>
      </c>
      <c r="AH13">
        <v>15</v>
      </c>
      <c r="AI13">
        <v>25.4</v>
      </c>
      <c r="AJ13">
        <v>19.3</v>
      </c>
      <c r="AK13">
        <v>0.5</v>
      </c>
      <c r="AL13">
        <v>0.4</v>
      </c>
      <c r="AM13">
        <v>403.9</v>
      </c>
      <c r="AN13">
        <v>210.7</v>
      </c>
      <c r="AO13">
        <v>0.75</v>
      </c>
      <c r="AP13">
        <v>0.68</v>
      </c>
      <c r="AQ13">
        <v>4.3319999999999999</v>
      </c>
      <c r="AR13">
        <v>1.337</v>
      </c>
      <c r="AS13">
        <v>5.0419999999999998</v>
      </c>
      <c r="AT13">
        <v>2.004</v>
      </c>
      <c r="AU13">
        <v>34.799999999999997</v>
      </c>
      <c r="AV13">
        <v>8</v>
      </c>
      <c r="AW13">
        <v>21</v>
      </c>
      <c r="AX13">
        <v>39.1</v>
      </c>
      <c r="AY13">
        <v>22.5</v>
      </c>
      <c r="AZ13">
        <v>0.8</v>
      </c>
      <c r="BA13">
        <v>0.7</v>
      </c>
      <c r="BB13">
        <v>240.2</v>
      </c>
      <c r="BC13">
        <v>207.9</v>
      </c>
      <c r="BD13">
        <v>0.85</v>
      </c>
      <c r="BE13">
        <v>0.84</v>
      </c>
      <c r="BF13">
        <v>10.32</v>
      </c>
      <c r="BG13">
        <v>4.7610000000000001</v>
      </c>
      <c r="BH13">
        <v>5.3410000000000002</v>
      </c>
      <c r="BI13">
        <v>1.337</v>
      </c>
      <c r="BJ13">
        <v>29.333715641603373</v>
      </c>
      <c r="BK13">
        <v>3.0033476929989866E-2</v>
      </c>
      <c r="BL13">
        <v>218.75277312684608</v>
      </c>
      <c r="BM13">
        <v>9.7698951938693135</v>
      </c>
      <c r="BN13">
        <v>27.623345527485547</v>
      </c>
      <c r="BO13">
        <v>69.294775390625006</v>
      </c>
      <c r="BP13">
        <v>5.8848617399705994</v>
      </c>
      <c r="BQ13">
        <v>8.3610599306314891E-3</v>
      </c>
      <c r="BR13">
        <v>277.23562446932635</v>
      </c>
      <c r="BS13">
        <v>2.0758242462503107</v>
      </c>
      <c r="BT13">
        <v>21.00342829846138</v>
      </c>
      <c r="BU13">
        <v>63.953401184082033</v>
      </c>
      <c r="BV13">
        <v>19.223251186386907</v>
      </c>
      <c r="BW13">
        <v>5.4234491808338448E-2</v>
      </c>
      <c r="BX13">
        <v>292.63761385358509</v>
      </c>
      <c r="BY13">
        <v>10.211413490556328</v>
      </c>
      <c r="BZ13">
        <v>16.786201852265251</v>
      </c>
      <c r="CA13">
        <v>59.949392700195311</v>
      </c>
      <c r="CB13">
        <v>16.553713772075447</v>
      </c>
      <c r="CC13">
        <v>3.8757404365012724E-2</v>
      </c>
      <c r="CD13">
        <v>288.74756859548057</v>
      </c>
      <c r="CE13">
        <v>7.8200598726304333</v>
      </c>
      <c r="CF13">
        <v>17.922969554854699</v>
      </c>
      <c r="CG13">
        <v>61.035593414306639</v>
      </c>
      <c r="CH13">
        <v>462.62040000000002</v>
      </c>
      <c r="CI13">
        <v>53.726700000000001</v>
      </c>
      <c r="CJ13">
        <v>168.78729999999999</v>
      </c>
      <c r="CK13">
        <v>1.1614</v>
      </c>
      <c r="CL13">
        <v>462.62040000000002</v>
      </c>
      <c r="CM13">
        <v>4.9009999999999998</v>
      </c>
      <c r="CN13">
        <v>1470</v>
      </c>
      <c r="CO13">
        <v>337.53496666666666</v>
      </c>
      <c r="CP13">
        <v>41.692900000000002</v>
      </c>
      <c r="CQ13">
        <v>130.98203333333333</v>
      </c>
      <c r="CR13">
        <v>1.2604</v>
      </c>
      <c r="CS13">
        <v>337.53496666666666</v>
      </c>
      <c r="CT13">
        <v>4.0933333333333337</v>
      </c>
      <c r="CU13">
        <v>1112</v>
      </c>
      <c r="CW13">
        <v>75</v>
      </c>
      <c r="CX13">
        <v>13</v>
      </c>
      <c r="CY13">
        <v>44</v>
      </c>
      <c r="CZ13">
        <v>24.5</v>
      </c>
      <c r="DA13">
        <v>29.6</v>
      </c>
      <c r="DB13">
        <v>0.6</v>
      </c>
      <c r="DC13">
        <v>0.7</v>
      </c>
      <c r="DD13">
        <v>250.0583404469736</v>
      </c>
      <c r="DE13">
        <v>122.15287909399603</v>
      </c>
      <c r="DF13">
        <v>0.78</v>
      </c>
      <c r="DG13">
        <v>0.68</v>
      </c>
      <c r="DH13">
        <v>32.405000000000001</v>
      </c>
      <c r="DI13">
        <v>27.652000000000001</v>
      </c>
      <c r="DJ13">
        <v>13.523</v>
      </c>
      <c r="DK13">
        <v>10.015000000000001</v>
      </c>
      <c r="DL13">
        <v>78.599999999999994</v>
      </c>
      <c r="DM13">
        <v>22</v>
      </c>
      <c r="DN13">
        <v>75</v>
      </c>
      <c r="DO13">
        <v>42.1</v>
      </c>
      <c r="DP13">
        <v>35</v>
      </c>
      <c r="DQ13">
        <v>1.1000000000000001</v>
      </c>
      <c r="DR13">
        <v>1</v>
      </c>
      <c r="DS13">
        <v>212.51772329711667</v>
      </c>
      <c r="DT13">
        <v>172.39847386418757</v>
      </c>
      <c r="DU13">
        <v>0.84</v>
      </c>
      <c r="DV13">
        <v>0.84</v>
      </c>
      <c r="DW13">
        <v>36.914000000000001</v>
      </c>
      <c r="DX13">
        <v>20.158999999999999</v>
      </c>
      <c r="DY13">
        <v>11.065</v>
      </c>
      <c r="DZ13">
        <v>6.9249999999999998</v>
      </c>
      <c r="EB13">
        <v>19.223251186386907</v>
      </c>
      <c r="EC13">
        <v>5.4234491808338448E-2</v>
      </c>
      <c r="ED13">
        <v>292.63761385358509</v>
      </c>
      <c r="EE13">
        <v>10.211413490556328</v>
      </c>
      <c r="EF13">
        <v>16.786201852265251</v>
      </c>
      <c r="EG13">
        <v>59.949392700195311</v>
      </c>
      <c r="EH13">
        <v>16.553713772075447</v>
      </c>
      <c r="EI13">
        <v>3.8757404365012724E-2</v>
      </c>
      <c r="EJ13">
        <v>288.74756859548057</v>
      </c>
      <c r="EK13">
        <v>7.8200598726304333</v>
      </c>
      <c r="EL13">
        <v>17.922969554854699</v>
      </c>
      <c r="EM13">
        <v>61.035593414306639</v>
      </c>
      <c r="EO13">
        <v>17.093850359984931</v>
      </c>
      <c r="EP13">
        <v>0.18742013055276849</v>
      </c>
      <c r="EQ13">
        <v>397.63003055829392</v>
      </c>
      <c r="ER13">
        <v>7.286576511710888</v>
      </c>
      <c r="ES13">
        <v>3.7687038495336567</v>
      </c>
      <c r="ET13">
        <v>38.35158004760742</v>
      </c>
      <c r="EU13">
        <v>11.340581300115039</v>
      </c>
      <c r="EV13">
        <v>0.14080384648032593</v>
      </c>
      <c r="EW13">
        <v>404.94009677922043</v>
      </c>
      <c r="EX13">
        <v>5.708838307997671</v>
      </c>
      <c r="EY13">
        <v>3.8937732816409167</v>
      </c>
      <c r="EZ13">
        <v>38.443230438232419</v>
      </c>
      <c r="FB13">
        <v>963.56209999999999</v>
      </c>
      <c r="FC13">
        <v>128.37569999999999</v>
      </c>
      <c r="FD13">
        <v>403.30419999999998</v>
      </c>
      <c r="FE13">
        <v>1.3323</v>
      </c>
      <c r="FF13">
        <v>963.56209999999999</v>
      </c>
      <c r="FG13">
        <v>13.433</v>
      </c>
      <c r="FH13">
        <v>4370</v>
      </c>
      <c r="FI13">
        <v>1094.8179</v>
      </c>
      <c r="FJ13">
        <v>94.285399999999996</v>
      </c>
      <c r="FK13">
        <v>296.2063</v>
      </c>
      <c r="FL13">
        <v>0.86119999999999997</v>
      </c>
      <c r="FM13">
        <v>1094.8179</v>
      </c>
      <c r="FN13">
        <v>6.3769999999999998</v>
      </c>
      <c r="FO13">
        <v>4321</v>
      </c>
      <c r="FQ13">
        <v>15.6</v>
      </c>
      <c r="FR13">
        <v>0.7</v>
      </c>
      <c r="FS13">
        <v>234.2429281375662</v>
      </c>
      <c r="FT13">
        <v>0.83</v>
      </c>
      <c r="FU13">
        <v>27</v>
      </c>
      <c r="FV13">
        <v>1.5</v>
      </c>
      <c r="FW13">
        <v>265.50736704822253</v>
      </c>
      <c r="FX13">
        <v>0.84</v>
      </c>
      <c r="FY13">
        <v>24.373532798881833</v>
      </c>
      <c r="FZ13">
        <v>0.43205705376965764</v>
      </c>
      <c r="GA13">
        <v>320.24783650854749</v>
      </c>
      <c r="GB13">
        <v>13.583002453001249</v>
      </c>
      <c r="GC13">
        <v>3.2267742623902071</v>
      </c>
      <c r="GD13">
        <v>38.534805297851563</v>
      </c>
      <c r="GF13">
        <v>16.915622757552448</v>
      </c>
      <c r="GG13">
        <v>0.25372734731370472</v>
      </c>
      <c r="GH13">
        <v>301.27430522202627</v>
      </c>
      <c r="GI13">
        <v>10.92815004442561</v>
      </c>
      <c r="GJ13">
        <v>4.2124193327016979</v>
      </c>
      <c r="GK13">
        <v>40.178775787353516</v>
      </c>
      <c r="GM13">
        <v>91</v>
      </c>
      <c r="GN13">
        <v>97</v>
      </c>
      <c r="GO13">
        <v>127</v>
      </c>
      <c r="GP13">
        <v>94</v>
      </c>
      <c r="GQ13">
        <v>99</v>
      </c>
      <c r="GR13">
        <v>128</v>
      </c>
      <c r="GT13">
        <v>82</v>
      </c>
      <c r="GU13">
        <v>24</v>
      </c>
      <c r="GV13">
        <v>10</v>
      </c>
      <c r="GW13">
        <v>57.112000000000002</v>
      </c>
      <c r="GX13">
        <v>32.67</v>
      </c>
      <c r="GY13">
        <v>14.55</v>
      </c>
      <c r="GZ13">
        <v>15.87</v>
      </c>
      <c r="HB13">
        <v>84</v>
      </c>
      <c r="HC13">
        <v>11</v>
      </c>
      <c r="HD13">
        <v>6</v>
      </c>
      <c r="HE13">
        <v>45.17</v>
      </c>
      <c r="HF13">
        <v>29.64</v>
      </c>
      <c r="HG13">
        <v>10.15</v>
      </c>
      <c r="HH13">
        <v>19.82</v>
      </c>
    </row>
    <row r="14" spans="1:216" x14ac:dyDescent="0.25">
      <c r="B14" s="1" t="s">
        <v>207</v>
      </c>
      <c r="C14" s="3" t="s">
        <v>222</v>
      </c>
      <c r="D14" s="3">
        <v>2</v>
      </c>
      <c r="E14" s="6">
        <v>36</v>
      </c>
      <c r="F14" s="6">
        <v>0</v>
      </c>
      <c r="G14" s="6">
        <v>4</v>
      </c>
      <c r="H14" s="6">
        <v>22.3</v>
      </c>
      <c r="I14" s="6">
        <v>0.15</v>
      </c>
      <c r="J14" s="6">
        <v>18.5</v>
      </c>
      <c r="K14" s="6">
        <v>0.1</v>
      </c>
      <c r="L14">
        <v>0.24300000000000002</v>
      </c>
      <c r="M14">
        <v>0.16700000000000001</v>
      </c>
      <c r="N14">
        <v>0.106</v>
      </c>
      <c r="O14">
        <v>7.8E-2</v>
      </c>
      <c r="P14">
        <v>12.160040450629458</v>
      </c>
      <c r="Q14">
        <v>0.20682997911612719</v>
      </c>
      <c r="R14">
        <v>227.94314463802112</v>
      </c>
      <c r="S14">
        <v>3.6677929700604883</v>
      </c>
      <c r="T14">
        <v>1.7436403254221591</v>
      </c>
      <c r="U14">
        <v>29.543176651000977</v>
      </c>
      <c r="V14">
        <v>125.3916</v>
      </c>
      <c r="W14">
        <v>4.1402999999999999</v>
      </c>
      <c r="X14">
        <v>13.007199999999999</v>
      </c>
      <c r="Y14">
        <v>0.33019999999999999</v>
      </c>
      <c r="Z14">
        <v>125.3916</v>
      </c>
      <c r="AA14">
        <v>0.107</v>
      </c>
      <c r="AB14">
        <v>733</v>
      </c>
      <c r="AD14" s="3" t="s">
        <v>223</v>
      </c>
      <c r="AE14" s="3">
        <v>2</v>
      </c>
      <c r="AF14">
        <v>42.6</v>
      </c>
      <c r="AG14">
        <v>4</v>
      </c>
      <c r="AH14">
        <v>12</v>
      </c>
      <c r="AI14">
        <v>29.3</v>
      </c>
      <c r="AJ14">
        <v>26.4</v>
      </c>
      <c r="AK14">
        <v>0.4</v>
      </c>
      <c r="AL14">
        <v>0.3</v>
      </c>
      <c r="AM14">
        <v>390.6</v>
      </c>
      <c r="AN14">
        <v>211.6</v>
      </c>
      <c r="AO14">
        <v>0.73</v>
      </c>
      <c r="AP14">
        <v>0.62</v>
      </c>
      <c r="AQ14">
        <v>3.9670000000000001</v>
      </c>
      <c r="AR14">
        <v>1.657</v>
      </c>
      <c r="AS14">
        <v>4.7809999999999997</v>
      </c>
      <c r="AT14">
        <v>1.6519999999999999</v>
      </c>
      <c r="AU14">
        <v>61</v>
      </c>
      <c r="AV14">
        <v>9</v>
      </c>
      <c r="AW14">
        <v>22</v>
      </c>
      <c r="AX14">
        <v>40.1</v>
      </c>
      <c r="AY14">
        <v>31.2</v>
      </c>
      <c r="AZ14">
        <v>0.85</v>
      </c>
      <c r="BA14">
        <v>0.75</v>
      </c>
      <c r="BB14">
        <v>252</v>
      </c>
      <c r="BC14">
        <v>246.8</v>
      </c>
      <c r="BD14">
        <v>0.85</v>
      </c>
      <c r="BE14">
        <v>0.83</v>
      </c>
      <c r="BF14">
        <v>14.371</v>
      </c>
      <c r="BG14">
        <v>6.5119999999999996</v>
      </c>
      <c r="BH14">
        <v>7.181</v>
      </c>
      <c r="BI14">
        <v>1.5629999999999999</v>
      </c>
      <c r="BJ14">
        <v>24.405553827608703</v>
      </c>
      <c r="BK14">
        <v>3.2619632760141307E-2</v>
      </c>
      <c r="BL14">
        <v>217.02868867987914</v>
      </c>
      <c r="BM14">
        <v>10.896197510085081</v>
      </c>
      <c r="BN14">
        <v>28.170847365816485</v>
      </c>
      <c r="BO14">
        <v>69.877894592285159</v>
      </c>
      <c r="BP14">
        <v>4.45905291863731</v>
      </c>
      <c r="BQ14">
        <v>5.8874361706564319E-3</v>
      </c>
      <c r="BR14">
        <v>241.7081787701367</v>
      </c>
      <c r="BS14">
        <v>1.8776289950098959</v>
      </c>
      <c r="BT14">
        <v>27.081505212388766</v>
      </c>
      <c r="BU14">
        <v>68.758364868164065</v>
      </c>
      <c r="BV14">
        <v>24.997800204129629</v>
      </c>
      <c r="BW14">
        <v>6.5515796388125006E-2</v>
      </c>
      <c r="BX14">
        <v>285.60337661874985</v>
      </c>
      <c r="BY14">
        <v>12.334505034067053</v>
      </c>
      <c r="BZ14">
        <v>16.773720459162117</v>
      </c>
      <c r="CA14">
        <v>60.02622756958008</v>
      </c>
      <c r="CB14">
        <v>17.740980710135542</v>
      </c>
      <c r="CC14">
        <v>6.3157338285314765E-2</v>
      </c>
      <c r="CD14">
        <v>296.16739128478656</v>
      </c>
      <c r="CE14">
        <v>11.674377605504645</v>
      </c>
      <c r="CF14">
        <v>16.322439642020974</v>
      </c>
      <c r="CG14">
        <v>59.54301223754883</v>
      </c>
      <c r="CH14">
        <v>296.71449999999999</v>
      </c>
      <c r="CI14">
        <v>34.154499999999999</v>
      </c>
      <c r="CJ14">
        <v>107.29949999999999</v>
      </c>
      <c r="CK14">
        <v>1.1511</v>
      </c>
      <c r="CL14">
        <v>296.71449999999999</v>
      </c>
      <c r="CM14">
        <v>3.0880000000000001</v>
      </c>
      <c r="CN14">
        <v>1329</v>
      </c>
      <c r="CO14">
        <v>304.74349999999998</v>
      </c>
      <c r="CP14">
        <v>22.775700000000001</v>
      </c>
      <c r="CQ14">
        <v>71.552033333333341</v>
      </c>
      <c r="CR14">
        <v>0.75666666666666671</v>
      </c>
      <c r="CS14">
        <v>304.74349999999998</v>
      </c>
      <c r="CT14">
        <v>1.3456666666666666</v>
      </c>
      <c r="CU14">
        <v>1601.3333333333333</v>
      </c>
      <c r="CW14">
        <v>67.2</v>
      </c>
      <c r="CX14">
        <v>11</v>
      </c>
      <c r="CY14">
        <v>35</v>
      </c>
      <c r="CZ14">
        <v>3</v>
      </c>
      <c r="DA14">
        <v>25.1</v>
      </c>
      <c r="DB14">
        <v>0.6</v>
      </c>
      <c r="DC14">
        <v>0.7</v>
      </c>
      <c r="DD14">
        <v>282.28280744873774</v>
      </c>
      <c r="DE14">
        <v>137.40824165776831</v>
      </c>
      <c r="DF14">
        <v>0.75</v>
      </c>
      <c r="DG14">
        <v>0.62</v>
      </c>
      <c r="DH14">
        <v>27.780999999999999</v>
      </c>
      <c r="DI14">
        <v>26.513999999999999</v>
      </c>
      <c r="DJ14">
        <v>14.612</v>
      </c>
      <c r="DK14">
        <v>10.151999999999999</v>
      </c>
      <c r="DL14">
        <v>76.5</v>
      </c>
      <c r="DM14">
        <v>21</v>
      </c>
      <c r="DN14">
        <v>69</v>
      </c>
      <c r="DO14">
        <v>37.1</v>
      </c>
      <c r="DP14">
        <v>39.5</v>
      </c>
      <c r="DQ14">
        <v>1.1000000000000001</v>
      </c>
      <c r="DR14">
        <v>0.9</v>
      </c>
      <c r="DS14">
        <v>230.67487711071743</v>
      </c>
      <c r="DT14">
        <v>182.2259391027635</v>
      </c>
      <c r="DU14">
        <v>0.84</v>
      </c>
      <c r="DV14">
        <v>0.83</v>
      </c>
      <c r="DW14">
        <v>40.121000000000002</v>
      </c>
      <c r="DX14">
        <v>30.198</v>
      </c>
      <c r="DY14">
        <v>12.454000000000001</v>
      </c>
      <c r="DZ14">
        <v>7.0129999999999999</v>
      </c>
      <c r="EB14">
        <v>24.997800204129629</v>
      </c>
      <c r="EC14">
        <v>6.5515796388125006E-2</v>
      </c>
      <c r="ED14">
        <v>285.60337661874985</v>
      </c>
      <c r="EE14">
        <v>12.334505034067053</v>
      </c>
      <c r="EF14">
        <v>16.773720459162117</v>
      </c>
      <c r="EG14">
        <v>60.02622756958008</v>
      </c>
      <c r="EH14">
        <v>17.740980710135542</v>
      </c>
      <c r="EI14">
        <v>6.3157338285314765E-2</v>
      </c>
      <c r="EJ14">
        <v>296.16739128478656</v>
      </c>
      <c r="EK14">
        <v>11.674377605504645</v>
      </c>
      <c r="EL14">
        <v>16.322439642020974</v>
      </c>
      <c r="EM14">
        <v>59.54301223754883</v>
      </c>
      <c r="EO14">
        <v>22.028439436719385</v>
      </c>
      <c r="EP14">
        <v>0.23097140012864087</v>
      </c>
      <c r="EQ14">
        <v>390.83633299081373</v>
      </c>
      <c r="ER14">
        <v>9.1289397650710367</v>
      </c>
      <c r="ES14">
        <v>3.8626731696465364</v>
      </c>
      <c r="ET14">
        <v>38.659401702880857</v>
      </c>
      <c r="EU14">
        <v>12.678397938904515</v>
      </c>
      <c r="EV14">
        <v>0.14242864670314262</v>
      </c>
      <c r="EW14">
        <v>402.47947472895999</v>
      </c>
      <c r="EX14">
        <v>5.8261970475550946</v>
      </c>
      <c r="EY14">
        <v>3.9293440002077826</v>
      </c>
      <c r="EZ14">
        <v>38.512529373168945</v>
      </c>
      <c r="FB14">
        <v>440.30009999999999</v>
      </c>
      <c r="FC14">
        <v>255.24469999999999</v>
      </c>
      <c r="FD14">
        <v>801.87490000000003</v>
      </c>
      <c r="FE14">
        <v>5.7971000000000004</v>
      </c>
      <c r="FF14">
        <v>440.30009999999999</v>
      </c>
      <c r="FG14">
        <v>116.21299999999999</v>
      </c>
      <c r="FH14">
        <v>2940</v>
      </c>
      <c r="FI14">
        <v>2050.8753999999999</v>
      </c>
      <c r="FJ14">
        <v>183.2998</v>
      </c>
      <c r="FK14">
        <v>575.85329999999999</v>
      </c>
      <c r="FL14">
        <v>0.89380000000000004</v>
      </c>
      <c r="FM14">
        <v>2050.8753999999999</v>
      </c>
      <c r="FN14">
        <v>12.867000000000001</v>
      </c>
      <c r="FO14">
        <v>7378</v>
      </c>
      <c r="FQ14">
        <v>18.100000000000001</v>
      </c>
      <c r="FR14">
        <v>0.7</v>
      </c>
      <c r="FS14">
        <v>255.24700111142118</v>
      </c>
      <c r="FT14">
        <v>0.83</v>
      </c>
      <c r="FU14">
        <v>27.8</v>
      </c>
      <c r="FV14">
        <v>1.5</v>
      </c>
      <c r="FW14">
        <v>270.58141863344827</v>
      </c>
      <c r="FX14">
        <v>0.84</v>
      </c>
      <c r="FY14">
        <v>24.579282840921071</v>
      </c>
      <c r="FZ14">
        <v>0.43211716083681484</v>
      </c>
      <c r="GA14">
        <v>319.39644923983155</v>
      </c>
      <c r="GB14">
        <v>13.581740427013512</v>
      </c>
      <c r="GC14">
        <v>3.2260795155931499</v>
      </c>
      <c r="GD14">
        <v>38.531909942626953</v>
      </c>
      <c r="GF14">
        <v>17.107435239663037</v>
      </c>
      <c r="GG14">
        <v>0.25407925977963836</v>
      </c>
      <c r="GH14">
        <v>300.17510400260892</v>
      </c>
      <c r="GI14">
        <v>10.938998921955575</v>
      </c>
      <c r="GJ14">
        <v>4.211089956077628</v>
      </c>
      <c r="GK14">
        <v>40.175746917724609</v>
      </c>
      <c r="GM14">
        <v>91</v>
      </c>
      <c r="GN14">
        <v>97</v>
      </c>
      <c r="GO14">
        <v>127</v>
      </c>
      <c r="GP14">
        <v>94</v>
      </c>
      <c r="GQ14">
        <v>99</v>
      </c>
      <c r="GR14">
        <v>128</v>
      </c>
      <c r="GT14">
        <v>85</v>
      </c>
      <c r="GU14">
        <v>20</v>
      </c>
      <c r="GV14">
        <v>9</v>
      </c>
      <c r="GW14">
        <v>56.54</v>
      </c>
      <c r="GX14">
        <v>31.29</v>
      </c>
      <c r="GY14">
        <v>13.95</v>
      </c>
      <c r="GZ14">
        <v>14.69</v>
      </c>
      <c r="HB14">
        <v>68</v>
      </c>
      <c r="HC14">
        <v>8</v>
      </c>
      <c r="HD14">
        <v>6</v>
      </c>
      <c r="HE14">
        <v>43.32</v>
      </c>
      <c r="HF14">
        <v>27.12</v>
      </c>
      <c r="HG14">
        <v>9.36</v>
      </c>
      <c r="HH14">
        <v>18.75</v>
      </c>
    </row>
    <row r="15" spans="1:216" x14ac:dyDescent="0.25">
      <c r="B15" s="1" t="s">
        <v>207</v>
      </c>
      <c r="C15" s="3" t="s">
        <v>222</v>
      </c>
      <c r="D15" s="3">
        <v>3</v>
      </c>
      <c r="E15" s="6">
        <v>31.3</v>
      </c>
      <c r="F15" s="6">
        <v>0</v>
      </c>
      <c r="G15" s="6">
        <v>3</v>
      </c>
      <c r="H15" s="6">
        <v>21.4</v>
      </c>
      <c r="I15" s="6">
        <v>0.3</v>
      </c>
      <c r="J15" s="6">
        <v>17.899999999999999</v>
      </c>
      <c r="K15" s="6">
        <v>0.3</v>
      </c>
      <c r="L15">
        <v>0.20400000000000001</v>
      </c>
      <c r="M15">
        <v>0.14599999999999999</v>
      </c>
      <c r="N15">
        <v>9.4E-2</v>
      </c>
      <c r="O15">
        <v>6.9000000000000006E-2</v>
      </c>
      <c r="P15">
        <v>14.680979702567573</v>
      </c>
      <c r="Q15">
        <v>0.23069370825485294</v>
      </c>
      <c r="R15">
        <v>222.12431418304081</v>
      </c>
      <c r="S15">
        <v>4.0783111012083673</v>
      </c>
      <c r="T15">
        <v>1.746805408171523</v>
      </c>
      <c r="U15">
        <v>29.534172058105469</v>
      </c>
      <c r="V15">
        <v>100.3815</v>
      </c>
      <c r="W15">
        <v>3.2298</v>
      </c>
      <c r="X15">
        <v>10.146800000000001</v>
      </c>
      <c r="Y15">
        <v>0.32179999999999997</v>
      </c>
      <c r="Z15">
        <v>100.3815</v>
      </c>
      <c r="AA15">
        <v>8.2000000000000003E-2</v>
      </c>
      <c r="AB15">
        <v>640</v>
      </c>
      <c r="AD15" s="3" t="s">
        <v>223</v>
      </c>
      <c r="AE15" s="3">
        <v>3</v>
      </c>
      <c r="AF15">
        <v>44.8</v>
      </c>
      <c r="AG15">
        <v>4</v>
      </c>
      <c r="AH15">
        <v>14</v>
      </c>
      <c r="AI15">
        <v>30</v>
      </c>
      <c r="AJ15">
        <v>22.5</v>
      </c>
      <c r="AK15">
        <v>0.6</v>
      </c>
      <c r="AL15">
        <v>0.4</v>
      </c>
      <c r="AM15">
        <v>350.7</v>
      </c>
      <c r="AN15">
        <v>161.19999999999999</v>
      </c>
      <c r="AO15">
        <v>0.79</v>
      </c>
      <c r="AP15">
        <v>0.73</v>
      </c>
      <c r="AQ15">
        <v>5.4320000000000004</v>
      </c>
      <c r="AR15">
        <v>1.976</v>
      </c>
      <c r="AS15">
        <v>4.9420000000000002</v>
      </c>
      <c r="AT15">
        <v>1.5620000000000001</v>
      </c>
      <c r="AU15">
        <v>60.9</v>
      </c>
      <c r="AV15">
        <v>8</v>
      </c>
      <c r="AW15">
        <v>24</v>
      </c>
      <c r="AX15">
        <v>40.1</v>
      </c>
      <c r="AY15">
        <v>31.8</v>
      </c>
      <c r="AZ15">
        <v>0.6</v>
      </c>
      <c r="BA15">
        <v>0.6</v>
      </c>
      <c r="BB15">
        <v>280.60000000000002</v>
      </c>
      <c r="BC15">
        <v>251.7</v>
      </c>
      <c r="BD15">
        <v>0.82</v>
      </c>
      <c r="BE15">
        <v>0.85</v>
      </c>
      <c r="BF15">
        <v>12.321</v>
      </c>
      <c r="BG15">
        <v>5.9119999999999999</v>
      </c>
      <c r="BH15">
        <v>6.1159999999999997</v>
      </c>
      <c r="BI15">
        <v>1.8759999999999999</v>
      </c>
      <c r="BJ15">
        <v>32.321279668637253</v>
      </c>
      <c r="BK15">
        <v>6.2690256937421779E-2</v>
      </c>
      <c r="BL15">
        <v>234.26142713876115</v>
      </c>
      <c r="BM15">
        <v>17.689722061285103</v>
      </c>
      <c r="BN15">
        <v>24.329610910263227</v>
      </c>
      <c r="BO15">
        <v>66.936582946777349</v>
      </c>
      <c r="BP15">
        <v>12.085453169167033</v>
      </c>
      <c r="BQ15">
        <v>1.5365161447380871E-2</v>
      </c>
      <c r="BR15">
        <v>237.16058043372544</v>
      </c>
      <c r="BS15">
        <v>4.862410026005664</v>
      </c>
      <c r="BT15">
        <v>26.828087852657951</v>
      </c>
      <c r="BU15">
        <v>68.554618835449219</v>
      </c>
      <c r="BV15">
        <v>24.945472256770625</v>
      </c>
      <c r="BW15">
        <v>6.833511561488273E-2</v>
      </c>
      <c r="BX15">
        <v>289.15686869412025</v>
      </c>
      <c r="BY15">
        <v>12.292769297689237</v>
      </c>
      <c r="BZ15">
        <v>16.097307453168881</v>
      </c>
      <c r="CA15">
        <v>59.328171539306638</v>
      </c>
      <c r="CB15">
        <v>17.923075192743728</v>
      </c>
      <c r="CC15">
        <v>6.3089008220907294E-2</v>
      </c>
      <c r="CD15">
        <v>297.3395162778362</v>
      </c>
      <c r="CE15">
        <v>11.247150130834092</v>
      </c>
      <c r="CF15">
        <v>16.077758884920094</v>
      </c>
      <c r="CG15">
        <v>59.176036071777347</v>
      </c>
      <c r="CH15">
        <v>253.27</v>
      </c>
      <c r="CI15">
        <v>37.197499999999998</v>
      </c>
      <c r="CJ15">
        <v>116.8593</v>
      </c>
      <c r="CK15">
        <v>1.4686999999999999</v>
      </c>
      <c r="CL15">
        <v>253.27</v>
      </c>
      <c r="CM15">
        <v>4.2910000000000004</v>
      </c>
      <c r="CN15">
        <v>537</v>
      </c>
      <c r="CW15">
        <v>65.5</v>
      </c>
      <c r="CX15">
        <v>12</v>
      </c>
      <c r="CY15">
        <v>39</v>
      </c>
      <c r="CZ15">
        <v>25.3</v>
      </c>
      <c r="DA15">
        <v>27.4</v>
      </c>
      <c r="DB15">
        <v>0.6</v>
      </c>
      <c r="DC15">
        <v>0.7</v>
      </c>
      <c r="DD15">
        <v>265.50736704822253</v>
      </c>
      <c r="DE15">
        <v>133.10661720560941</v>
      </c>
      <c r="DF15">
        <v>0.75</v>
      </c>
      <c r="DG15">
        <v>0.69</v>
      </c>
      <c r="DH15">
        <v>34.781999999999996</v>
      </c>
      <c r="DI15">
        <v>25.425000000000001</v>
      </c>
      <c r="DJ15">
        <v>15.824</v>
      </c>
      <c r="DK15">
        <v>11.512</v>
      </c>
      <c r="DL15">
        <v>73.5</v>
      </c>
      <c r="DM15">
        <v>20</v>
      </c>
      <c r="DN15">
        <v>69</v>
      </c>
      <c r="DO15">
        <v>33.6</v>
      </c>
      <c r="DP15">
        <v>39.5</v>
      </c>
      <c r="DQ15">
        <v>1.2</v>
      </c>
      <c r="DR15">
        <v>1</v>
      </c>
      <c r="DS15">
        <v>223.47693733169802</v>
      </c>
      <c r="DT15">
        <v>188.03453858994482</v>
      </c>
      <c r="DU15">
        <v>0.84</v>
      </c>
      <c r="DV15">
        <v>0.83</v>
      </c>
      <c r="DW15">
        <v>41.573</v>
      </c>
      <c r="DX15">
        <v>28.684000000000001</v>
      </c>
      <c r="DY15">
        <v>17.852</v>
      </c>
      <c r="DZ15">
        <v>7.1230000000000002</v>
      </c>
      <c r="EB15">
        <v>24.945472256770625</v>
      </c>
      <c r="EC15">
        <v>6.833511561488273E-2</v>
      </c>
      <c r="ED15">
        <v>289.15686869412025</v>
      </c>
      <c r="EE15">
        <v>12.292769297689237</v>
      </c>
      <c r="EF15">
        <v>16.097307453168881</v>
      </c>
      <c r="EG15">
        <v>59.328171539306638</v>
      </c>
      <c r="EH15">
        <v>17.923075192743728</v>
      </c>
      <c r="EI15">
        <v>6.3089008220907294E-2</v>
      </c>
      <c r="EJ15">
        <v>297.3395162778362</v>
      </c>
      <c r="EK15">
        <v>11.247150130834092</v>
      </c>
      <c r="EL15">
        <v>16.077758884920094</v>
      </c>
      <c r="EM15">
        <v>59.176036071777347</v>
      </c>
      <c r="EO15">
        <v>19.306721838407491</v>
      </c>
      <c r="EP15">
        <v>0.24245534099770222</v>
      </c>
      <c r="EQ15">
        <v>394.78206369866268</v>
      </c>
      <c r="ER15">
        <v>9.6132941159162453</v>
      </c>
      <c r="ES15">
        <v>3.8800335813386675</v>
      </c>
      <c r="ET15">
        <v>38.591549682617185</v>
      </c>
      <c r="EU15">
        <v>7.3830493495307179</v>
      </c>
      <c r="EV15">
        <v>7.9497541774110989E-2</v>
      </c>
      <c r="EW15">
        <v>407.54409096208911</v>
      </c>
      <c r="EX15">
        <v>3.5009984199986923</v>
      </c>
      <c r="EY15">
        <v>4.1718733559791916</v>
      </c>
      <c r="EZ15">
        <v>38.911822509765628</v>
      </c>
      <c r="FB15">
        <v>332.74439999999998</v>
      </c>
      <c r="FC15">
        <v>183.4188</v>
      </c>
      <c r="FD15">
        <v>576.22720000000004</v>
      </c>
      <c r="FE15">
        <v>5.5122999999999998</v>
      </c>
      <c r="FF15">
        <v>332.74439999999998</v>
      </c>
      <c r="FG15">
        <v>79.408000000000001</v>
      </c>
      <c r="FH15">
        <v>4025</v>
      </c>
      <c r="FI15">
        <v>809.60379999999998</v>
      </c>
      <c r="FJ15">
        <v>152.91069999999999</v>
      </c>
      <c r="FK15">
        <v>480.38299999999998</v>
      </c>
      <c r="FL15">
        <v>1.8887</v>
      </c>
      <c r="FM15">
        <v>809.60379999999998</v>
      </c>
      <c r="FN15">
        <v>22.683</v>
      </c>
      <c r="FO15">
        <v>4857</v>
      </c>
      <c r="FQ15">
        <v>12.7</v>
      </c>
      <c r="FR15">
        <v>0.7</v>
      </c>
      <c r="FS15">
        <v>258.68415098065896</v>
      </c>
      <c r="FT15">
        <v>0.83</v>
      </c>
      <c r="FU15">
        <v>28</v>
      </c>
      <c r="FV15">
        <v>1.5</v>
      </c>
      <c r="FW15">
        <v>275.61951264135126</v>
      </c>
      <c r="FX15">
        <v>0.84</v>
      </c>
      <c r="FY15">
        <v>24.491811538491682</v>
      </c>
      <c r="FZ15">
        <v>0.43249201770667345</v>
      </c>
      <c r="GA15">
        <v>319.84735394143388</v>
      </c>
      <c r="GB15">
        <v>13.589583836568901</v>
      </c>
      <c r="GC15">
        <v>3.2254204115519713</v>
      </c>
      <c r="GD15">
        <v>38.530315399169922</v>
      </c>
      <c r="GF15">
        <v>16.936428742676281</v>
      </c>
      <c r="GG15">
        <v>0.25458200059191527</v>
      </c>
      <c r="GH15">
        <v>301.49934361712974</v>
      </c>
      <c r="GI15">
        <v>10.955073363802988</v>
      </c>
      <c r="GJ15">
        <v>4.2094085195158897</v>
      </c>
      <c r="GK15">
        <v>40.172069549560547</v>
      </c>
      <c r="GM15">
        <v>91</v>
      </c>
      <c r="GN15">
        <v>97</v>
      </c>
      <c r="GO15">
        <v>127</v>
      </c>
      <c r="GP15">
        <v>94</v>
      </c>
      <c r="GQ15">
        <v>99</v>
      </c>
      <c r="GR15">
        <v>128</v>
      </c>
      <c r="GT15">
        <v>70</v>
      </c>
      <c r="GU15">
        <v>23</v>
      </c>
      <c r="GV15">
        <v>10</v>
      </c>
      <c r="GW15">
        <v>57.47</v>
      </c>
      <c r="GX15">
        <v>32.07</v>
      </c>
      <c r="GY15">
        <v>14.8</v>
      </c>
      <c r="GZ15">
        <v>15.49</v>
      </c>
      <c r="HB15">
        <v>66</v>
      </c>
      <c r="HC15">
        <v>8</v>
      </c>
      <c r="HD15">
        <v>6</v>
      </c>
      <c r="HE15">
        <v>40.159999999999997</v>
      </c>
      <c r="HF15">
        <v>26.15</v>
      </c>
      <c r="HG15">
        <v>9.1199999999999992</v>
      </c>
      <c r="HH15">
        <v>19.12</v>
      </c>
    </row>
    <row r="16" spans="1:216" x14ac:dyDescent="0.25">
      <c r="A16" t="s">
        <v>206</v>
      </c>
      <c r="B16" s="1" t="s">
        <v>208</v>
      </c>
      <c r="C16" s="3" t="s">
        <v>222</v>
      </c>
      <c r="D16" s="3">
        <v>1</v>
      </c>
      <c r="E16" s="6">
        <v>37</v>
      </c>
      <c r="F16" s="6">
        <v>0</v>
      </c>
      <c r="G16" s="6">
        <v>3</v>
      </c>
      <c r="H16" s="6">
        <v>17.600000000000001</v>
      </c>
      <c r="I16" s="6">
        <v>0.15</v>
      </c>
      <c r="J16" s="6">
        <v>21.1</v>
      </c>
      <c r="K16" s="6">
        <v>0.1</v>
      </c>
      <c r="L16">
        <v>0.25</v>
      </c>
      <c r="M16">
        <v>0.13700000000000001</v>
      </c>
      <c r="N16">
        <v>0.11</v>
      </c>
      <c r="O16">
        <v>6.4000000000000001E-2</v>
      </c>
      <c r="P16">
        <v>13.969543058518104</v>
      </c>
      <c r="Q16">
        <v>0.23869576163030654</v>
      </c>
      <c r="R16">
        <v>231.35716054816049</v>
      </c>
      <c r="S16">
        <v>4.2135687048867236</v>
      </c>
      <c r="T16">
        <v>1.7471262517546386</v>
      </c>
      <c r="U16">
        <v>29.521648406982422</v>
      </c>
      <c r="V16">
        <v>225.76679999999999</v>
      </c>
      <c r="W16">
        <v>9.6384000000000007</v>
      </c>
      <c r="X16">
        <v>30.279900000000001</v>
      </c>
      <c r="Y16">
        <v>0.4269</v>
      </c>
      <c r="Z16">
        <v>225.76679999999999</v>
      </c>
      <c r="AA16">
        <v>0.32300000000000001</v>
      </c>
      <c r="AB16">
        <v>930</v>
      </c>
      <c r="AC16" s="1" t="s">
        <v>208</v>
      </c>
      <c r="AD16" s="3" t="s">
        <v>223</v>
      </c>
      <c r="AE16" s="3">
        <v>1</v>
      </c>
      <c r="AF16">
        <v>42.8</v>
      </c>
      <c r="AG16">
        <v>4</v>
      </c>
      <c r="AH16">
        <v>16</v>
      </c>
      <c r="AI16">
        <v>28.1</v>
      </c>
      <c r="AJ16">
        <v>22.6</v>
      </c>
      <c r="AK16">
        <v>0.7</v>
      </c>
      <c r="AL16">
        <v>0.7</v>
      </c>
      <c r="AM16">
        <v>257.60000000000002</v>
      </c>
      <c r="AN16">
        <v>165.8</v>
      </c>
      <c r="AO16">
        <v>0.7</v>
      </c>
      <c r="AP16">
        <v>0.65</v>
      </c>
      <c r="AQ16">
        <v>8.7910000000000004</v>
      </c>
      <c r="AR16">
        <v>2.2570000000000001</v>
      </c>
      <c r="AS16">
        <v>8.8119999999999994</v>
      </c>
      <c r="AT16">
        <v>2.1539999999999999</v>
      </c>
      <c r="AU16">
        <v>47.3</v>
      </c>
      <c r="AV16">
        <v>8</v>
      </c>
      <c r="AW16">
        <v>21</v>
      </c>
      <c r="AX16">
        <v>33.200000000000003</v>
      </c>
      <c r="AY16">
        <v>24.1</v>
      </c>
      <c r="AZ16">
        <v>0.9</v>
      </c>
      <c r="BA16">
        <v>0.9</v>
      </c>
      <c r="BB16">
        <v>332</v>
      </c>
      <c r="BC16">
        <v>319.60000000000002</v>
      </c>
      <c r="BD16">
        <v>0.83</v>
      </c>
      <c r="BE16">
        <v>0.85</v>
      </c>
      <c r="BF16">
        <v>9.3450000000000006</v>
      </c>
      <c r="BG16">
        <v>3.7210000000000001</v>
      </c>
      <c r="BH16">
        <v>7.9210000000000003</v>
      </c>
      <c r="BI16">
        <v>2.2570000000000001</v>
      </c>
      <c r="BJ16">
        <v>30.563004969334141</v>
      </c>
      <c r="BK16">
        <v>4.817741804002424E-2</v>
      </c>
      <c r="BL16">
        <v>210.31856299972216</v>
      </c>
      <c r="BM16">
        <v>15.937016728954047</v>
      </c>
      <c r="BN16">
        <v>28.43396216289268</v>
      </c>
      <c r="BO16">
        <v>70.020764668782547</v>
      </c>
      <c r="BP16">
        <v>3.1384084450466614</v>
      </c>
      <c r="BQ16">
        <v>1.2121566610385753E-2</v>
      </c>
      <c r="BR16">
        <v>244.80894713406218</v>
      </c>
      <c r="BS16">
        <v>3.7597182316900644</v>
      </c>
      <c r="BT16">
        <v>26.543896578439995</v>
      </c>
      <c r="BU16">
        <v>68.297360229492185</v>
      </c>
      <c r="BV16">
        <v>26.283942198563029</v>
      </c>
      <c r="BW16">
        <v>6.6724392650756151E-2</v>
      </c>
      <c r="BX16">
        <v>275.94298141924304</v>
      </c>
      <c r="BY16">
        <v>13.199034897374791</v>
      </c>
      <c r="BZ16">
        <v>17.352499427178778</v>
      </c>
      <c r="CA16">
        <v>60.955556488037111</v>
      </c>
      <c r="CB16">
        <v>17.13304566902454</v>
      </c>
      <c r="CC16">
        <v>4.6589332924330193E-2</v>
      </c>
      <c r="CD16">
        <v>257.56729744141234</v>
      </c>
      <c r="CE16">
        <v>11.989792547213318</v>
      </c>
      <c r="CF16">
        <v>22.272848997073897</v>
      </c>
      <c r="CG16">
        <v>65.413831329345697</v>
      </c>
      <c r="CH16">
        <v>433.17509999999999</v>
      </c>
      <c r="CI16">
        <v>73.718400000000003</v>
      </c>
      <c r="CJ16">
        <v>231.5932</v>
      </c>
      <c r="CK16">
        <v>1.7018</v>
      </c>
      <c r="CL16">
        <v>433.17509999999999</v>
      </c>
      <c r="CM16">
        <v>9.8529999999999998</v>
      </c>
      <c r="CN16">
        <v>921</v>
      </c>
      <c r="CO16">
        <v>365.99583333333334</v>
      </c>
      <c r="CP16">
        <v>63.027733333333337</v>
      </c>
      <c r="CQ16">
        <v>198.00753333333333</v>
      </c>
      <c r="CR16">
        <v>1.7393666666666665</v>
      </c>
      <c r="CS16">
        <v>365.99583333333334</v>
      </c>
      <c r="CT16">
        <v>8.5416666666666661</v>
      </c>
      <c r="CU16">
        <v>783.66666666666663</v>
      </c>
      <c r="CW16">
        <v>66.3</v>
      </c>
      <c r="CX16">
        <v>8</v>
      </c>
      <c r="CY16">
        <v>32</v>
      </c>
      <c r="CZ16">
        <v>22.3</v>
      </c>
      <c r="DA16">
        <v>28.3</v>
      </c>
      <c r="DB16">
        <v>0.8</v>
      </c>
      <c r="DC16">
        <v>1</v>
      </c>
      <c r="DD16">
        <v>319.49873676983293</v>
      </c>
      <c r="DE16">
        <v>255.24700111142118</v>
      </c>
      <c r="DF16">
        <v>0.69</v>
      </c>
      <c r="DG16">
        <v>0.65</v>
      </c>
      <c r="DH16">
        <v>36.723999999999997</v>
      </c>
      <c r="DI16">
        <v>25.965</v>
      </c>
      <c r="DJ16">
        <v>12.221</v>
      </c>
      <c r="DK16">
        <v>10.121</v>
      </c>
      <c r="DL16">
        <v>95.6</v>
      </c>
      <c r="DM16">
        <v>27</v>
      </c>
      <c r="DN16">
        <v>96</v>
      </c>
      <c r="DO16">
        <v>33</v>
      </c>
      <c r="DP16">
        <v>32.1</v>
      </c>
      <c r="DQ16">
        <v>1.1000000000000001</v>
      </c>
      <c r="DR16">
        <v>1</v>
      </c>
      <c r="DS16">
        <v>412.40075223848442</v>
      </c>
      <c r="DT16">
        <v>256.96774120462396</v>
      </c>
      <c r="DU16">
        <v>0.83</v>
      </c>
      <c r="DV16">
        <v>0.85</v>
      </c>
      <c r="DW16">
        <v>57.216000000000001</v>
      </c>
      <c r="DX16">
        <v>31.062999999999999</v>
      </c>
      <c r="DY16">
        <v>20.951000000000001</v>
      </c>
      <c r="DZ16">
        <v>11.052</v>
      </c>
      <c r="EB16">
        <v>26.283942198563029</v>
      </c>
      <c r="EC16">
        <v>6.6724392650756151E-2</v>
      </c>
      <c r="ED16">
        <v>275.94298141924304</v>
      </c>
      <c r="EE16">
        <v>13.199034897374791</v>
      </c>
      <c r="EF16">
        <v>17.352499427178778</v>
      </c>
      <c r="EG16">
        <v>60.955556488037111</v>
      </c>
      <c r="EH16">
        <v>17.13304566902454</v>
      </c>
      <c r="EI16">
        <v>4.6589332924330193E-2</v>
      </c>
      <c r="EJ16">
        <v>257.56729744141234</v>
      </c>
      <c r="EK16">
        <v>11.989792547213318</v>
      </c>
      <c r="EL16">
        <v>22.272848997073897</v>
      </c>
      <c r="EM16">
        <v>65.413831329345697</v>
      </c>
      <c r="EO16">
        <v>20.86680854040792</v>
      </c>
      <c r="EP16">
        <v>0.3097879894286012</v>
      </c>
      <c r="EQ16">
        <v>394.40286202869299</v>
      </c>
      <c r="ER16">
        <v>10.321466847624468</v>
      </c>
      <c r="ES16">
        <v>3.3188337444310734</v>
      </c>
      <c r="ET16">
        <v>37.579409790039065</v>
      </c>
      <c r="EU16">
        <v>12.283995677184581</v>
      </c>
      <c r="EV16">
        <v>0.13424744408652345</v>
      </c>
      <c r="EW16">
        <v>403.57939990625681</v>
      </c>
      <c r="EX16">
        <v>5.2499629217778274</v>
      </c>
      <c r="EY16">
        <v>3.754259377535456</v>
      </c>
      <c r="EZ16">
        <v>38.224649047851564</v>
      </c>
      <c r="FB16">
        <v>360.96469999999999</v>
      </c>
      <c r="FC16">
        <v>189.31720000000001</v>
      </c>
      <c r="FD16">
        <v>594.75750000000005</v>
      </c>
      <c r="FE16">
        <v>5.2447999999999997</v>
      </c>
      <c r="FF16">
        <v>360.96469999999999</v>
      </c>
      <c r="FG16">
        <v>77.983999999999995</v>
      </c>
      <c r="FH16">
        <v>2824</v>
      </c>
      <c r="FI16">
        <v>831.72069999999997</v>
      </c>
      <c r="FJ16">
        <v>163.70429999999999</v>
      </c>
      <c r="FK16">
        <v>514.29240000000004</v>
      </c>
      <c r="FL16">
        <v>1.9682999999999999</v>
      </c>
      <c r="FM16">
        <v>831.72069999999997</v>
      </c>
      <c r="FN16">
        <v>25.306999999999999</v>
      </c>
      <c r="FO16">
        <v>3169</v>
      </c>
      <c r="FQ16">
        <v>17.899999999999999</v>
      </c>
      <c r="FR16">
        <v>1</v>
      </c>
      <c r="FS16">
        <v>273.94407869993609</v>
      </c>
      <c r="FT16">
        <v>0.8</v>
      </c>
      <c r="FU16">
        <v>27.1</v>
      </c>
      <c r="FV16">
        <v>1.3</v>
      </c>
      <c r="FW16">
        <v>317.91672043974671</v>
      </c>
      <c r="FX16">
        <v>0.83</v>
      </c>
      <c r="FY16">
        <v>24.328379602111038</v>
      </c>
      <c r="FZ16">
        <v>0.65762761093922351</v>
      </c>
      <c r="GA16">
        <v>351.39785910950087</v>
      </c>
      <c r="GB16">
        <v>15.498236869298838</v>
      </c>
      <c r="GC16">
        <v>2.5531008477201604</v>
      </c>
      <c r="GD16">
        <v>37.173633575439453</v>
      </c>
      <c r="GF16">
        <v>17.635199652930368</v>
      </c>
      <c r="GG16">
        <v>0.24367082650127697</v>
      </c>
      <c r="GH16">
        <v>291.57860976365072</v>
      </c>
      <c r="GI16">
        <v>10.092229788901008</v>
      </c>
      <c r="GJ16">
        <v>4.0547335328610821</v>
      </c>
      <c r="GK16">
        <v>39.953193664550781</v>
      </c>
      <c r="GM16">
        <v>91</v>
      </c>
      <c r="GN16">
        <v>97</v>
      </c>
      <c r="GO16">
        <v>127</v>
      </c>
      <c r="GP16">
        <v>95</v>
      </c>
      <c r="GQ16">
        <v>101</v>
      </c>
      <c r="GR16">
        <v>128</v>
      </c>
      <c r="GT16">
        <v>100</v>
      </c>
      <c r="GU16">
        <v>15</v>
      </c>
      <c r="GV16">
        <v>6</v>
      </c>
      <c r="GW16">
        <v>54.67</v>
      </c>
      <c r="GX16">
        <v>30.89</v>
      </c>
      <c r="GY16">
        <v>16.55</v>
      </c>
      <c r="GZ16">
        <v>22.64</v>
      </c>
      <c r="HB16">
        <v>79</v>
      </c>
      <c r="HC16">
        <v>6</v>
      </c>
      <c r="HD16">
        <v>5</v>
      </c>
      <c r="HE16">
        <v>48.12</v>
      </c>
      <c r="HF16">
        <v>24.95</v>
      </c>
      <c r="HG16">
        <v>8.0150000000000006</v>
      </c>
      <c r="HH16">
        <v>16.54</v>
      </c>
    </row>
    <row r="17" spans="1:216" x14ac:dyDescent="0.25">
      <c r="B17" s="1" t="s">
        <v>208</v>
      </c>
      <c r="C17" s="3" t="s">
        <v>222</v>
      </c>
      <c r="D17" s="3">
        <v>2</v>
      </c>
      <c r="E17" s="6">
        <v>46.5</v>
      </c>
      <c r="F17" s="6">
        <v>0</v>
      </c>
      <c r="G17" s="6">
        <v>3</v>
      </c>
      <c r="H17" s="6">
        <v>27.7</v>
      </c>
      <c r="I17" s="6">
        <v>0.5</v>
      </c>
      <c r="J17" s="6">
        <v>14.3</v>
      </c>
      <c r="K17" s="6">
        <v>0.1</v>
      </c>
      <c r="L17">
        <v>0.41270000000000001</v>
      </c>
      <c r="M17">
        <v>0.129</v>
      </c>
      <c r="N17">
        <v>0.129</v>
      </c>
      <c r="O17">
        <v>7.0999999999999994E-2</v>
      </c>
      <c r="P17">
        <v>13.167770698236778</v>
      </c>
      <c r="Q17">
        <v>0.24450452742394135</v>
      </c>
      <c r="R17">
        <v>239.78926899682821</v>
      </c>
      <c r="S17">
        <v>4.3220283376539257</v>
      </c>
      <c r="T17">
        <v>1.7516215403138884</v>
      </c>
      <c r="U17">
        <v>29.52813720703125</v>
      </c>
      <c r="V17">
        <v>237.91130000000001</v>
      </c>
      <c r="W17">
        <v>10.400499999999999</v>
      </c>
      <c r="X17">
        <v>32.674199999999999</v>
      </c>
      <c r="Y17">
        <v>0.43719999999999998</v>
      </c>
      <c r="Z17">
        <v>237.91130000000001</v>
      </c>
      <c r="AA17">
        <v>0.35699999999999998</v>
      </c>
      <c r="AB17">
        <v>981</v>
      </c>
      <c r="AD17" s="3" t="s">
        <v>223</v>
      </c>
      <c r="AE17" s="3">
        <v>2</v>
      </c>
      <c r="AF17">
        <v>43.2</v>
      </c>
      <c r="AG17">
        <v>5</v>
      </c>
      <c r="AH17">
        <v>19</v>
      </c>
      <c r="AI17">
        <v>25</v>
      </c>
      <c r="AJ17">
        <v>22.3</v>
      </c>
      <c r="AK17">
        <v>0.8</v>
      </c>
      <c r="AL17">
        <v>0.9</v>
      </c>
      <c r="AM17">
        <v>301.7</v>
      </c>
      <c r="AN17">
        <v>150.69999999999999</v>
      </c>
      <c r="AO17">
        <v>0.68</v>
      </c>
      <c r="AP17">
        <v>0.61</v>
      </c>
      <c r="AQ17">
        <v>7.3710000000000004</v>
      </c>
      <c r="AR17">
        <v>1.875</v>
      </c>
      <c r="AS17">
        <v>9.1180000000000003</v>
      </c>
      <c r="AT17">
        <v>1.9970000000000001</v>
      </c>
      <c r="AU17">
        <v>55.7</v>
      </c>
      <c r="AV17">
        <v>10</v>
      </c>
      <c r="AW17">
        <v>27</v>
      </c>
      <c r="AX17">
        <v>37.299999999999997</v>
      </c>
      <c r="AY17">
        <v>28.3</v>
      </c>
      <c r="AZ17">
        <v>1.2</v>
      </c>
      <c r="BA17">
        <v>1.1000000000000001</v>
      </c>
      <c r="BB17">
        <v>298</v>
      </c>
      <c r="BC17">
        <v>302</v>
      </c>
      <c r="BD17">
        <v>0.85</v>
      </c>
      <c r="BE17">
        <v>0.83</v>
      </c>
      <c r="BF17">
        <v>12.24</v>
      </c>
      <c r="BG17">
        <v>6.7140000000000004</v>
      </c>
      <c r="BH17">
        <v>7.9409999999999998</v>
      </c>
      <c r="BI17">
        <v>2.452</v>
      </c>
      <c r="BJ17">
        <v>30.18888777067653</v>
      </c>
      <c r="BK17">
        <v>4.2796049365631791E-2</v>
      </c>
      <c r="BL17">
        <v>210.7695580372484</v>
      </c>
      <c r="BM17">
        <v>14.449543868255471</v>
      </c>
      <c r="BN17">
        <v>28.033278878194388</v>
      </c>
      <c r="BO17">
        <v>69.992050170898438</v>
      </c>
      <c r="BP17">
        <v>9.0097420792469478</v>
      </c>
      <c r="BQ17">
        <v>1.9538691641456503E-2</v>
      </c>
      <c r="BR17">
        <v>242.7523484660008</v>
      </c>
      <c r="BS17">
        <v>5.9195157838787438</v>
      </c>
      <c r="BT17">
        <v>25.837291812910216</v>
      </c>
      <c r="BU17">
        <v>67.921606445312506</v>
      </c>
      <c r="BV17">
        <v>24.422197622844429</v>
      </c>
      <c r="BW17">
        <v>5.3177620615061025E-2</v>
      </c>
      <c r="BX17">
        <v>255.27679355958844</v>
      </c>
      <c r="BY17">
        <v>12.833657566238946</v>
      </c>
      <c r="BZ17">
        <v>21.273614925728911</v>
      </c>
      <c r="CA17">
        <v>64.543880462646484</v>
      </c>
      <c r="CB17">
        <v>27.626207712795996</v>
      </c>
      <c r="CC17">
        <v>7.3641345771494088E-2</v>
      </c>
      <c r="CD17">
        <v>279.77198224944715</v>
      </c>
      <c r="CE17">
        <v>13.446933608656911</v>
      </c>
      <c r="CF17">
        <v>16.683644048576888</v>
      </c>
      <c r="CG17">
        <v>59.992168426513672</v>
      </c>
      <c r="CH17">
        <v>408.84100000000001</v>
      </c>
      <c r="CI17">
        <v>67.821399999999997</v>
      </c>
      <c r="CJ17">
        <v>213.06729999999999</v>
      </c>
      <c r="CK17">
        <v>1.6589</v>
      </c>
      <c r="CL17">
        <v>408.84100000000001</v>
      </c>
      <c r="CM17">
        <v>8.8360000000000003</v>
      </c>
      <c r="CN17">
        <v>932</v>
      </c>
      <c r="CO17">
        <v>378.4675666666667</v>
      </c>
      <c r="CP17">
        <v>31.357700000000005</v>
      </c>
      <c r="CQ17">
        <v>98.51306666666666</v>
      </c>
      <c r="CR17">
        <v>0.83016666666666661</v>
      </c>
      <c r="CS17">
        <v>378.4675666666667</v>
      </c>
      <c r="CT17">
        <v>2.0443333333333333</v>
      </c>
      <c r="CU17">
        <v>1437.3333333333333</v>
      </c>
      <c r="CW17">
        <v>68.900000000000006</v>
      </c>
      <c r="CX17">
        <v>9</v>
      </c>
      <c r="CY17">
        <v>35</v>
      </c>
      <c r="CZ17">
        <v>26.1</v>
      </c>
      <c r="DA17">
        <v>29.5</v>
      </c>
      <c r="DB17">
        <v>0.8</v>
      </c>
      <c r="DC17">
        <v>1</v>
      </c>
      <c r="DD17">
        <v>316.33161421276441</v>
      </c>
      <c r="DE17">
        <v>243.07664669081117</v>
      </c>
      <c r="DF17">
        <v>0.71</v>
      </c>
      <c r="DG17">
        <v>0.67</v>
      </c>
      <c r="DH17">
        <v>34.124000000000002</v>
      </c>
      <c r="DI17">
        <v>24.157</v>
      </c>
      <c r="DJ17">
        <v>11.984999999999999</v>
      </c>
      <c r="DK17">
        <v>7.5119999999999996</v>
      </c>
      <c r="DL17">
        <v>102.1</v>
      </c>
      <c r="DM17">
        <v>27</v>
      </c>
      <c r="DN17">
        <v>85</v>
      </c>
      <c r="DO17">
        <v>28.1</v>
      </c>
      <c r="DP17">
        <v>32.9</v>
      </c>
      <c r="DQ17">
        <v>1.1000000000000001</v>
      </c>
      <c r="DR17">
        <v>1</v>
      </c>
      <c r="DS17">
        <v>399.4738882066228</v>
      </c>
      <c r="DT17">
        <v>263.80784043568468</v>
      </c>
      <c r="DU17">
        <v>0.83</v>
      </c>
      <c r="DV17">
        <v>0.83</v>
      </c>
      <c r="DW17">
        <v>63.406999999999996</v>
      </c>
      <c r="DX17">
        <v>35.911999999999999</v>
      </c>
      <c r="DY17">
        <v>21.675000000000001</v>
      </c>
      <c r="DZ17">
        <v>12.654</v>
      </c>
      <c r="EB17">
        <v>27.626207712795996</v>
      </c>
      <c r="EC17">
        <v>7.3641345771494088E-2</v>
      </c>
      <c r="ED17">
        <v>279.77198224944715</v>
      </c>
      <c r="EE17">
        <v>13.446933608656911</v>
      </c>
      <c r="EF17">
        <v>16.683644048576888</v>
      </c>
      <c r="EG17">
        <v>59.992168426513672</v>
      </c>
      <c r="EH17">
        <v>24.422197622844429</v>
      </c>
      <c r="EI17">
        <v>5.3177620615061025E-2</v>
      </c>
      <c r="EJ17">
        <v>255.27679355958844</v>
      </c>
      <c r="EK17">
        <v>12.833657566238946</v>
      </c>
      <c r="EL17">
        <v>21.273614925728911</v>
      </c>
      <c r="EM17">
        <v>64.543880462646484</v>
      </c>
      <c r="EO17">
        <v>22.610132296272777</v>
      </c>
      <c r="EP17">
        <v>0.2792976525544979</v>
      </c>
      <c r="EQ17">
        <v>390.51124617868663</v>
      </c>
      <c r="ER17">
        <v>10.25927097124973</v>
      </c>
      <c r="ES17">
        <v>3.6313858931951861</v>
      </c>
      <c r="ET17">
        <v>38.336602783203126</v>
      </c>
      <c r="EU17">
        <v>15.603443770654483</v>
      </c>
      <c r="EV17">
        <v>0.15375848827903446</v>
      </c>
      <c r="EW17">
        <v>398.58217885974994</v>
      </c>
      <c r="EX17">
        <v>6.1738968495205437</v>
      </c>
      <c r="EY17">
        <v>3.8679670303195466</v>
      </c>
      <c r="EZ17">
        <v>38.556459808349608</v>
      </c>
      <c r="FB17">
        <v>350.68049999999999</v>
      </c>
      <c r="FC17">
        <v>300.77420000000001</v>
      </c>
      <c r="FD17">
        <v>944.91020000000003</v>
      </c>
      <c r="FE17">
        <v>8.5769000000000002</v>
      </c>
      <c r="FF17">
        <v>350.68049999999999</v>
      </c>
      <c r="FG17">
        <v>202.60900000000001</v>
      </c>
      <c r="FH17">
        <v>2582</v>
      </c>
      <c r="FI17">
        <v>1172.4122</v>
      </c>
      <c r="FJ17">
        <v>169.3948</v>
      </c>
      <c r="FK17">
        <v>532.1694</v>
      </c>
      <c r="FL17">
        <v>1.4448000000000001</v>
      </c>
      <c r="FM17">
        <v>1172.4122</v>
      </c>
      <c r="FN17">
        <v>19.222000000000001</v>
      </c>
      <c r="FO17">
        <v>3035</v>
      </c>
      <c r="FQ17">
        <v>20.2</v>
      </c>
      <c r="FR17">
        <v>1</v>
      </c>
      <c r="FS17">
        <v>288.88629951598534</v>
      </c>
      <c r="FT17">
        <v>0.81</v>
      </c>
      <c r="FU17">
        <v>28.5</v>
      </c>
      <c r="FV17">
        <v>1.3</v>
      </c>
      <c r="FW17">
        <v>314.74339304151636</v>
      </c>
      <c r="FX17">
        <v>0.83</v>
      </c>
      <c r="FY17">
        <v>24.328379602111038</v>
      </c>
      <c r="FZ17">
        <v>0.65762761093922351</v>
      </c>
      <c r="GA17">
        <v>351.39785910950087</v>
      </c>
      <c r="GB17">
        <v>15.498236869298838</v>
      </c>
      <c r="GC17">
        <v>2.5531008477201604</v>
      </c>
      <c r="GD17">
        <v>37.173633575439453</v>
      </c>
      <c r="GF17">
        <v>17.579032698562237</v>
      </c>
      <c r="GG17">
        <v>0.24323395549099525</v>
      </c>
      <c r="GH17">
        <v>291.75751212472642</v>
      </c>
      <c r="GI17">
        <v>10.076214380324149</v>
      </c>
      <c r="GJ17">
        <v>4.0552185447088078</v>
      </c>
      <c r="GK17">
        <v>39.952850341796875</v>
      </c>
      <c r="GM17">
        <v>91</v>
      </c>
      <c r="GN17">
        <v>97</v>
      </c>
      <c r="GO17">
        <v>127</v>
      </c>
      <c r="GP17">
        <v>95</v>
      </c>
      <c r="GQ17">
        <v>101</v>
      </c>
      <c r="GR17">
        <v>128</v>
      </c>
      <c r="GT17">
        <v>96</v>
      </c>
      <c r="GU17">
        <v>12</v>
      </c>
      <c r="GV17">
        <v>5</v>
      </c>
      <c r="GW17">
        <v>54.01</v>
      </c>
      <c r="GX17">
        <v>30.65</v>
      </c>
      <c r="GY17">
        <v>16.12</v>
      </c>
      <c r="GZ17">
        <v>21.87</v>
      </c>
      <c r="HB17">
        <v>87</v>
      </c>
      <c r="HC17">
        <v>5</v>
      </c>
      <c r="HD17">
        <v>3</v>
      </c>
      <c r="HE17">
        <v>46.05</v>
      </c>
      <c r="HF17">
        <v>22.63</v>
      </c>
      <c r="HG17">
        <v>7.42</v>
      </c>
      <c r="HH17">
        <v>15.32</v>
      </c>
    </row>
    <row r="18" spans="1:216" x14ac:dyDescent="0.25">
      <c r="B18" s="1" t="s">
        <v>208</v>
      </c>
      <c r="C18" s="3" t="s">
        <v>222</v>
      </c>
      <c r="D18" s="3">
        <v>3</v>
      </c>
      <c r="E18" s="6">
        <v>43.7</v>
      </c>
      <c r="F18" s="6">
        <v>0</v>
      </c>
      <c r="G18" s="6">
        <v>3</v>
      </c>
      <c r="H18" s="6">
        <v>28.5</v>
      </c>
      <c r="I18" s="6">
        <v>0.3</v>
      </c>
      <c r="J18" s="6">
        <v>17.399999999999999</v>
      </c>
      <c r="K18" s="6">
        <v>0.1</v>
      </c>
      <c r="L18">
        <v>0.28599999999999998</v>
      </c>
      <c r="M18">
        <v>0.13200000000000001</v>
      </c>
      <c r="N18">
        <v>0.10100000000000001</v>
      </c>
      <c r="O18">
        <v>6.9000000000000006E-2</v>
      </c>
      <c r="P18">
        <v>14.259911703301682</v>
      </c>
      <c r="Q18">
        <v>0.24784836399686638</v>
      </c>
      <c r="R18">
        <v>233.97639247007888</v>
      </c>
      <c r="S18">
        <v>4.3784989335193591</v>
      </c>
      <c r="T18">
        <v>1.7517984370401791</v>
      </c>
      <c r="U18">
        <v>29.520429611206055</v>
      </c>
      <c r="V18">
        <v>196.66460000000001</v>
      </c>
      <c r="W18">
        <v>7.5156999999999998</v>
      </c>
      <c r="X18">
        <v>23.6112</v>
      </c>
      <c r="Y18">
        <v>0.38219999999999998</v>
      </c>
      <c r="Z18">
        <v>196.66460000000001</v>
      </c>
      <c r="AA18">
        <v>0.22600000000000001</v>
      </c>
      <c r="AB18">
        <v>1084</v>
      </c>
      <c r="AD18" s="3" t="s">
        <v>223</v>
      </c>
      <c r="AE18" s="3">
        <v>3</v>
      </c>
      <c r="AF18">
        <v>39.6</v>
      </c>
      <c r="AG18">
        <v>4</v>
      </c>
      <c r="AH18">
        <v>17</v>
      </c>
      <c r="AI18">
        <v>25.9</v>
      </c>
      <c r="AJ18">
        <v>24</v>
      </c>
      <c r="AK18">
        <v>0.7</v>
      </c>
      <c r="AL18">
        <v>0.8</v>
      </c>
      <c r="AM18">
        <v>298.7</v>
      </c>
      <c r="AN18">
        <v>140.9</v>
      </c>
      <c r="AO18">
        <v>0.7</v>
      </c>
      <c r="AP18">
        <v>0.61</v>
      </c>
      <c r="AQ18">
        <v>6.9420000000000002</v>
      </c>
      <c r="AR18">
        <v>2.2879999999999998</v>
      </c>
      <c r="AS18">
        <v>7.4509999999999996</v>
      </c>
      <c r="AT18">
        <v>2.6520000000000001</v>
      </c>
      <c r="AU18">
        <v>59.9</v>
      </c>
      <c r="AV18">
        <v>10</v>
      </c>
      <c r="AW18">
        <v>31</v>
      </c>
      <c r="AX18">
        <v>34.6</v>
      </c>
      <c r="AY18">
        <v>33.200000000000003</v>
      </c>
      <c r="AZ18">
        <v>1.25</v>
      </c>
      <c r="BA18">
        <v>1.05</v>
      </c>
      <c r="BB18">
        <v>310.89999999999998</v>
      </c>
      <c r="BC18">
        <v>307.60000000000002</v>
      </c>
      <c r="BD18">
        <v>0.83</v>
      </c>
      <c r="BE18">
        <v>0.82</v>
      </c>
      <c r="BF18">
        <v>13.361000000000001</v>
      </c>
      <c r="BG18">
        <v>6.6749999999999998</v>
      </c>
      <c r="BH18">
        <v>8.0809999999999995</v>
      </c>
      <c r="BI18">
        <v>2.2879999999999998</v>
      </c>
      <c r="BJ18">
        <v>22.839433735141547</v>
      </c>
      <c r="BK18">
        <v>3.8443103195905187E-2</v>
      </c>
      <c r="BL18">
        <v>216.90195428221682</v>
      </c>
      <c r="BM18">
        <v>13.123882990479899</v>
      </c>
      <c r="BN18">
        <v>28.099705377398141</v>
      </c>
      <c r="BO18">
        <v>70.010711669921875</v>
      </c>
      <c r="BP18">
        <v>13.109482471647388</v>
      </c>
      <c r="BQ18">
        <v>3.3484011976687385E-2</v>
      </c>
      <c r="BR18">
        <v>262.78386065591809</v>
      </c>
      <c r="BS18">
        <v>8.5866350124022457</v>
      </c>
      <c r="BT18">
        <v>21.671353051095036</v>
      </c>
      <c r="BU18">
        <v>64.788012695312503</v>
      </c>
      <c r="BV18">
        <v>25.539708193586495</v>
      </c>
      <c r="BW18">
        <v>4.6939946151726676E-2</v>
      </c>
      <c r="BX18">
        <v>237.23234641325493</v>
      </c>
      <c r="BY18">
        <v>13.11454315313647</v>
      </c>
      <c r="BZ18">
        <v>24.214433883268619</v>
      </c>
      <c r="CA18">
        <v>67.011374664306643</v>
      </c>
      <c r="CB18">
        <v>19.515891120765094</v>
      </c>
      <c r="CC18">
        <v>5.44624174597408E-2</v>
      </c>
      <c r="CD18">
        <v>282.82429231353223</v>
      </c>
      <c r="CE18">
        <v>10.870197740757137</v>
      </c>
      <c r="CF18">
        <v>17.741326470994004</v>
      </c>
      <c r="CG18">
        <v>61.105561828613283</v>
      </c>
      <c r="CH18">
        <v>255.97139999999999</v>
      </c>
      <c r="CI18">
        <v>47.543399999999998</v>
      </c>
      <c r="CJ18">
        <v>149.3621</v>
      </c>
      <c r="CK18">
        <v>1.8573999999999999</v>
      </c>
      <c r="CL18">
        <v>255.97139999999999</v>
      </c>
      <c r="CM18">
        <v>6.9359999999999999</v>
      </c>
      <c r="CN18">
        <v>498</v>
      </c>
      <c r="CW18">
        <v>61.3</v>
      </c>
      <c r="CX18">
        <v>8</v>
      </c>
      <c r="CY18">
        <v>31</v>
      </c>
      <c r="CZ18">
        <v>26.4</v>
      </c>
      <c r="DA18">
        <v>25.6</v>
      </c>
      <c r="DB18">
        <v>0.8</v>
      </c>
      <c r="DC18">
        <v>1</v>
      </c>
      <c r="DD18">
        <v>332.04652386333538</v>
      </c>
      <c r="DE18">
        <v>236.01943379824945</v>
      </c>
      <c r="DF18">
        <v>0.72</v>
      </c>
      <c r="DG18">
        <v>0.69</v>
      </c>
      <c r="DH18">
        <v>28.193000000000001</v>
      </c>
      <c r="DI18">
        <v>21.347000000000001</v>
      </c>
      <c r="DJ18">
        <v>12.311999999999999</v>
      </c>
      <c r="DK18">
        <v>8.5129999999999999</v>
      </c>
      <c r="DL18">
        <v>96.1</v>
      </c>
      <c r="DM18">
        <v>28</v>
      </c>
      <c r="DN18">
        <v>91</v>
      </c>
      <c r="DO18">
        <v>34.1</v>
      </c>
      <c r="DP18">
        <v>38.299999999999997</v>
      </c>
      <c r="DQ18">
        <v>1.1000000000000001</v>
      </c>
      <c r="DR18">
        <v>1</v>
      </c>
      <c r="DS18">
        <v>398.0271266294078</v>
      </c>
      <c r="DT18">
        <v>265.50736704822253</v>
      </c>
      <c r="DU18">
        <v>0.83</v>
      </c>
      <c r="DV18">
        <v>0.82</v>
      </c>
      <c r="DW18">
        <v>62.866</v>
      </c>
      <c r="DX18">
        <v>36.347000000000001</v>
      </c>
      <c r="DY18">
        <v>22.478999999999999</v>
      </c>
      <c r="DZ18">
        <v>11.513999999999999</v>
      </c>
      <c r="EB18">
        <v>27.626207712795996</v>
      </c>
      <c r="EC18">
        <v>7.3641345771494088E-2</v>
      </c>
      <c r="ED18">
        <v>279.77198224944715</v>
      </c>
      <c r="EE18">
        <v>13.446933608656911</v>
      </c>
      <c r="EF18">
        <v>16.683644048576888</v>
      </c>
      <c r="EG18">
        <v>59.992168426513672</v>
      </c>
      <c r="EH18">
        <v>25.539708193586495</v>
      </c>
      <c r="EI18">
        <v>4.6939946151726676E-2</v>
      </c>
      <c r="EJ18">
        <v>237.23234641325493</v>
      </c>
      <c r="EK18">
        <v>13.11454315313647</v>
      </c>
      <c r="EL18">
        <v>24.214433883268619</v>
      </c>
      <c r="EM18">
        <v>67.011374664306643</v>
      </c>
      <c r="EO18">
        <v>22.2073189341145</v>
      </c>
      <c r="EP18">
        <v>0.31661379941649093</v>
      </c>
      <c r="EQ18">
        <v>390.68734833944455</v>
      </c>
      <c r="ER18">
        <v>10.609567025655576</v>
      </c>
      <c r="ES18">
        <v>3.3463658389565638</v>
      </c>
      <c r="ET18">
        <v>37.82173309326172</v>
      </c>
      <c r="EU18">
        <v>15.413320639634616</v>
      </c>
      <c r="EV18">
        <v>0.18059829721239853</v>
      </c>
      <c r="EW18">
        <v>398.85067927477832</v>
      </c>
      <c r="EX18">
        <v>6.7662986678326957</v>
      </c>
      <c r="EY18">
        <v>3.6349761615255227</v>
      </c>
      <c r="EZ18">
        <v>38.152667999267578</v>
      </c>
      <c r="FB18">
        <v>339.25970000000001</v>
      </c>
      <c r="FC18">
        <v>228.68709999999999</v>
      </c>
      <c r="FD18">
        <v>718.44169999999997</v>
      </c>
      <c r="FE18">
        <v>6.7408000000000001</v>
      </c>
      <c r="FF18">
        <v>339.25970000000001</v>
      </c>
      <c r="FG18">
        <v>121.071</v>
      </c>
      <c r="FH18">
        <v>3538</v>
      </c>
      <c r="FI18">
        <v>1116.606</v>
      </c>
      <c r="FJ18">
        <v>164.5163</v>
      </c>
      <c r="FK18">
        <v>516.84310000000005</v>
      </c>
      <c r="FL18">
        <v>1.4734</v>
      </c>
      <c r="FM18">
        <v>1116.606</v>
      </c>
      <c r="FN18">
        <v>19.036999999999999</v>
      </c>
      <c r="FO18">
        <v>2699</v>
      </c>
      <c r="FQ18">
        <v>20</v>
      </c>
      <c r="FR18">
        <v>1</v>
      </c>
      <c r="FS18">
        <v>287.24091285736597</v>
      </c>
      <c r="FT18">
        <v>0.8</v>
      </c>
      <c r="FU18">
        <v>28.5</v>
      </c>
      <c r="FV18">
        <v>1.3</v>
      </c>
      <c r="FW18">
        <v>322.65359817659578</v>
      </c>
      <c r="FX18">
        <v>0.83</v>
      </c>
      <c r="FY18">
        <v>24.538071551954289</v>
      </c>
      <c r="FZ18">
        <v>0.65709919495702507</v>
      </c>
      <c r="GA18">
        <v>350.68863697043201</v>
      </c>
      <c r="GB18">
        <v>15.493508380597884</v>
      </c>
      <c r="GC18">
        <v>2.5540809114209799</v>
      </c>
      <c r="GD18">
        <v>37.175621032714844</v>
      </c>
      <c r="GF18">
        <v>17.452125089370583</v>
      </c>
      <c r="GG18">
        <v>0.24278749500954666</v>
      </c>
      <c r="GH18">
        <v>292.41807828108881</v>
      </c>
      <c r="GI18">
        <v>10.060843852857252</v>
      </c>
      <c r="GJ18">
        <v>4.0560913661506923</v>
      </c>
      <c r="GK18">
        <v>39.953395843505859</v>
      </c>
      <c r="GM18">
        <v>91</v>
      </c>
      <c r="GN18">
        <v>97</v>
      </c>
      <c r="GO18">
        <v>127</v>
      </c>
      <c r="GP18">
        <v>95</v>
      </c>
      <c r="GQ18">
        <v>101</v>
      </c>
      <c r="GR18">
        <v>128</v>
      </c>
      <c r="GT18">
        <v>90</v>
      </c>
      <c r="GU18">
        <v>10</v>
      </c>
      <c r="GV18">
        <v>5</v>
      </c>
      <c r="GW18">
        <v>54.68</v>
      </c>
      <c r="GX18">
        <v>30.99</v>
      </c>
      <c r="GY18">
        <v>16.98</v>
      </c>
      <c r="GZ18">
        <v>22.65</v>
      </c>
      <c r="HB18">
        <v>82</v>
      </c>
      <c r="HC18">
        <v>6</v>
      </c>
      <c r="HD18">
        <v>3</v>
      </c>
      <c r="HE18">
        <v>46.98</v>
      </c>
      <c r="HF18">
        <v>22.14</v>
      </c>
      <c r="HG18">
        <v>7.01</v>
      </c>
      <c r="HH18">
        <v>15.03</v>
      </c>
    </row>
    <row r="19" spans="1:216" x14ac:dyDescent="0.25">
      <c r="A19" t="s">
        <v>206</v>
      </c>
      <c r="B19" s="1" t="s">
        <v>209</v>
      </c>
      <c r="C19" s="3" t="s">
        <v>222</v>
      </c>
      <c r="D19" s="3">
        <v>1</v>
      </c>
      <c r="E19" s="6">
        <v>51</v>
      </c>
      <c r="F19" s="6">
        <v>0</v>
      </c>
      <c r="G19" s="6">
        <v>4</v>
      </c>
      <c r="H19" s="6">
        <v>34.1</v>
      </c>
      <c r="I19" s="6">
        <v>0.3</v>
      </c>
      <c r="J19" s="6">
        <v>29.7</v>
      </c>
      <c r="K19" s="6">
        <v>0.2</v>
      </c>
      <c r="L19">
        <v>0.54600000000000004</v>
      </c>
      <c r="M19">
        <v>0.125</v>
      </c>
      <c r="N19">
        <v>0.19800000000000001</v>
      </c>
      <c r="O19">
        <v>5.6000000000000001E-2</v>
      </c>
      <c r="P19">
        <v>7.6320728315998663</v>
      </c>
      <c r="Q19">
        <v>8.0891958472390196E-2</v>
      </c>
      <c r="R19">
        <v>183.71246692385435</v>
      </c>
      <c r="S19">
        <v>1.7415462717787238</v>
      </c>
      <c r="T19">
        <v>2.0651141977151046</v>
      </c>
      <c r="U19">
        <v>29.697353363037109</v>
      </c>
      <c r="V19">
        <v>251.47630000000001</v>
      </c>
      <c r="W19">
        <v>15.873100000000001</v>
      </c>
      <c r="X19">
        <v>49.866900000000001</v>
      </c>
      <c r="Y19">
        <v>0.63119999999999998</v>
      </c>
      <c r="Z19">
        <v>251.47630000000001</v>
      </c>
      <c r="AA19">
        <v>0.78700000000000003</v>
      </c>
      <c r="AB19">
        <v>861</v>
      </c>
      <c r="AC19" s="1" t="s">
        <v>209</v>
      </c>
      <c r="AD19" s="3" t="s">
        <v>223</v>
      </c>
      <c r="AE19" s="3">
        <v>1</v>
      </c>
      <c r="AF19">
        <v>59.4</v>
      </c>
      <c r="AG19">
        <v>4</v>
      </c>
      <c r="AH19">
        <v>13</v>
      </c>
      <c r="AI19">
        <v>39.299999999999997</v>
      </c>
      <c r="AJ19">
        <v>26</v>
      </c>
      <c r="AK19">
        <v>0.7</v>
      </c>
      <c r="AL19">
        <v>0.5</v>
      </c>
      <c r="AM19">
        <v>286.7</v>
      </c>
      <c r="AN19">
        <v>220.7</v>
      </c>
      <c r="AO19">
        <v>0.74</v>
      </c>
      <c r="AP19">
        <v>0.71</v>
      </c>
      <c r="AQ19">
        <v>7.6310000000000002</v>
      </c>
      <c r="AR19">
        <v>2.452</v>
      </c>
      <c r="AS19">
        <v>3.851</v>
      </c>
      <c r="AT19">
        <v>1.129</v>
      </c>
      <c r="AU19">
        <v>64.099999999999994</v>
      </c>
      <c r="AV19">
        <v>11</v>
      </c>
      <c r="AW19">
        <v>26</v>
      </c>
      <c r="AX19">
        <v>42.7</v>
      </c>
      <c r="AY19">
        <v>24.1</v>
      </c>
      <c r="AZ19">
        <v>1.1000000000000001</v>
      </c>
      <c r="BA19">
        <v>0.7</v>
      </c>
      <c r="BB19">
        <v>207.3</v>
      </c>
      <c r="BC19">
        <v>216.8</v>
      </c>
      <c r="BD19">
        <v>0.83</v>
      </c>
      <c r="BE19">
        <v>0.81</v>
      </c>
      <c r="BF19">
        <v>12.891</v>
      </c>
      <c r="BG19">
        <v>5.8719999999999999</v>
      </c>
      <c r="BH19">
        <v>4.5609999999999999</v>
      </c>
      <c r="BI19">
        <v>2.2069999999999999</v>
      </c>
      <c r="BJ19">
        <v>25.773302723897849</v>
      </c>
      <c r="BK19">
        <v>3.5204200135718247E-2</v>
      </c>
      <c r="BL19">
        <v>230.32537300211666</v>
      </c>
      <c r="BM19">
        <v>10.27668666159963</v>
      </c>
      <c r="BN19">
        <v>25.301927893325683</v>
      </c>
      <c r="BO19">
        <v>67.553082275390622</v>
      </c>
      <c r="BP19">
        <v>12.279117163999135</v>
      </c>
      <c r="BQ19">
        <v>1.095242651549172E-2</v>
      </c>
      <c r="BR19">
        <v>215.02314433010966</v>
      </c>
      <c r="BS19">
        <v>4.0531663073002973</v>
      </c>
      <c r="BT19">
        <v>30.409208150591912</v>
      </c>
      <c r="BU19">
        <v>71.244470214843744</v>
      </c>
      <c r="BV19">
        <v>24.279157215414244</v>
      </c>
      <c r="BW19">
        <v>5.8042639600090908E-2</v>
      </c>
      <c r="BX19">
        <v>266.66494629153317</v>
      </c>
      <c r="BY19">
        <v>13.050420862110254</v>
      </c>
      <c r="BZ19">
        <v>19.23586130648059</v>
      </c>
      <c r="CA19">
        <v>62.914867401123047</v>
      </c>
      <c r="CB19">
        <v>16.159712542793692</v>
      </c>
      <c r="CC19">
        <v>4.6565850868202863E-2</v>
      </c>
      <c r="CD19">
        <v>267.02019451242415</v>
      </c>
      <c r="CE19">
        <v>11.048782800500573</v>
      </c>
      <c r="CF19">
        <v>20.823724906111337</v>
      </c>
      <c r="CG19">
        <v>64.079070281982425</v>
      </c>
      <c r="CH19">
        <v>177.10120000000001</v>
      </c>
      <c r="CI19">
        <v>26.004300000000001</v>
      </c>
      <c r="CJ19">
        <v>81.694900000000004</v>
      </c>
      <c r="CK19">
        <v>1.4682999999999999</v>
      </c>
      <c r="CL19">
        <v>177.10120000000001</v>
      </c>
      <c r="CM19">
        <v>2.9990000000000001</v>
      </c>
      <c r="CN19">
        <v>690</v>
      </c>
      <c r="CO19">
        <v>257.93180000000001</v>
      </c>
      <c r="CP19">
        <v>31.7544</v>
      </c>
      <c r="CQ19">
        <v>99.759433333333334</v>
      </c>
      <c r="CR19">
        <v>1.2101999999999999</v>
      </c>
      <c r="CS19">
        <v>257.93180000000001</v>
      </c>
      <c r="CT19">
        <v>3.1793333333333336</v>
      </c>
      <c r="CU19">
        <v>838</v>
      </c>
      <c r="CW19">
        <v>90.3</v>
      </c>
      <c r="CX19">
        <v>7</v>
      </c>
      <c r="CY19">
        <v>27</v>
      </c>
      <c r="CZ19">
        <v>23.2</v>
      </c>
      <c r="DA19">
        <v>34.700000000000003</v>
      </c>
      <c r="DB19">
        <v>1</v>
      </c>
      <c r="DC19">
        <v>0.9</v>
      </c>
      <c r="DD19">
        <v>225.2843066332689</v>
      </c>
      <c r="DE19">
        <v>195.68284511550763</v>
      </c>
      <c r="DF19">
        <v>0.79</v>
      </c>
      <c r="DG19">
        <v>0.71</v>
      </c>
      <c r="DH19">
        <v>28.56</v>
      </c>
      <c r="DI19">
        <v>19.870999999999999</v>
      </c>
      <c r="DJ19">
        <v>11.951000000000001</v>
      </c>
      <c r="DK19">
        <v>6.8959999999999999</v>
      </c>
      <c r="DL19">
        <v>119.1</v>
      </c>
      <c r="DM19">
        <v>25</v>
      </c>
      <c r="DN19">
        <v>85</v>
      </c>
      <c r="DO19">
        <v>45.5</v>
      </c>
      <c r="DP19">
        <v>47.1</v>
      </c>
      <c r="DQ19">
        <v>1.1000000000000001</v>
      </c>
      <c r="DR19">
        <v>1</v>
      </c>
      <c r="DS19">
        <v>253.52188527721665</v>
      </c>
      <c r="DT19">
        <v>267.20277854062374</v>
      </c>
      <c r="DU19">
        <v>0.83</v>
      </c>
      <c r="DV19">
        <v>0.81</v>
      </c>
      <c r="DW19">
        <v>80.459000000000003</v>
      </c>
      <c r="DX19">
        <v>45.719000000000001</v>
      </c>
      <c r="DY19">
        <v>24.373999999999999</v>
      </c>
      <c r="DZ19">
        <v>13.414999999999999</v>
      </c>
      <c r="EB19">
        <v>24.279157215414244</v>
      </c>
      <c r="EC19">
        <v>5.8042639600090908E-2</v>
      </c>
      <c r="ED19">
        <v>266.66494629153317</v>
      </c>
      <c r="EE19">
        <v>13.050420862110254</v>
      </c>
      <c r="EF19">
        <v>19.23586130648059</v>
      </c>
      <c r="EG19">
        <v>62.914867401123047</v>
      </c>
      <c r="EH19">
        <v>19.515891120765094</v>
      </c>
      <c r="EI19">
        <v>5.44624174597408E-2</v>
      </c>
      <c r="EJ19">
        <v>282.82429231353223</v>
      </c>
      <c r="EK19">
        <v>10.870197740757137</v>
      </c>
      <c r="EL19">
        <v>17.741326470994004</v>
      </c>
      <c r="EM19">
        <v>61.105561828613283</v>
      </c>
      <c r="EO19">
        <v>22.417444869958747</v>
      </c>
      <c r="EP19">
        <v>0.37456665507287729</v>
      </c>
      <c r="EQ19">
        <v>394.81932931917993</v>
      </c>
      <c r="ER19">
        <v>12.37834951571114</v>
      </c>
      <c r="ES19">
        <v>3.3268311771766648</v>
      </c>
      <c r="ET19">
        <v>37.771350860595703</v>
      </c>
      <c r="EU19">
        <v>13.844827368426655</v>
      </c>
      <c r="EV19">
        <v>9.4340244397263517E-2</v>
      </c>
      <c r="EW19">
        <v>402.0476621110983</v>
      </c>
      <c r="EX19">
        <v>3.874690975970374</v>
      </c>
      <c r="EY19">
        <v>3.9050471875261636</v>
      </c>
      <c r="EZ19">
        <v>38.595595550537112</v>
      </c>
      <c r="FB19">
        <v>463.5376</v>
      </c>
      <c r="FC19">
        <v>256.5462</v>
      </c>
      <c r="FD19">
        <v>805.96360000000004</v>
      </c>
      <c r="FE19">
        <v>5.5345000000000004</v>
      </c>
      <c r="FF19">
        <v>463.5376</v>
      </c>
      <c r="FG19">
        <v>111.51600000000001</v>
      </c>
      <c r="FH19">
        <v>3433</v>
      </c>
      <c r="FI19">
        <v>1352.4523999999999</v>
      </c>
      <c r="FJ19">
        <v>151.6798</v>
      </c>
      <c r="FK19">
        <v>476.51600000000002</v>
      </c>
      <c r="FL19">
        <v>1.1214999999999999</v>
      </c>
      <c r="FM19">
        <v>1352.4523999999999</v>
      </c>
      <c r="FN19">
        <v>13.361000000000001</v>
      </c>
      <c r="FO19">
        <v>5126</v>
      </c>
      <c r="FQ19">
        <v>11.5</v>
      </c>
      <c r="FR19">
        <v>0.9</v>
      </c>
      <c r="FS19">
        <v>273.94407869993609</v>
      </c>
      <c r="FT19">
        <v>0.83</v>
      </c>
      <c r="FU19">
        <v>36.200000000000003</v>
      </c>
      <c r="FV19">
        <v>1.7</v>
      </c>
      <c r="FW19">
        <v>301.92235798341517</v>
      </c>
      <c r="FX19">
        <v>0.81</v>
      </c>
      <c r="FY19">
        <v>20.884092991472908</v>
      </c>
      <c r="FZ19">
        <v>0.3928851027422916</v>
      </c>
      <c r="GA19">
        <v>329.1235913542522</v>
      </c>
      <c r="GB19">
        <v>11.236996194358587</v>
      </c>
      <c r="GC19">
        <v>2.919800942703028</v>
      </c>
      <c r="GD19">
        <v>37.242992401123047</v>
      </c>
      <c r="GF19">
        <v>17.672970080951874</v>
      </c>
      <c r="GG19">
        <v>0.21333831595394687</v>
      </c>
      <c r="GH19">
        <v>276.25046811000408</v>
      </c>
      <c r="GI19">
        <v>8.6409666656706836</v>
      </c>
      <c r="GJ19">
        <v>3.9442140443647165</v>
      </c>
      <c r="GK19">
        <v>39.521038055419922</v>
      </c>
      <c r="GM19">
        <v>87</v>
      </c>
      <c r="GN19">
        <v>92</v>
      </c>
      <c r="GO19">
        <v>123</v>
      </c>
      <c r="GP19">
        <v>94</v>
      </c>
      <c r="GQ19">
        <v>99</v>
      </c>
      <c r="GR19">
        <v>128</v>
      </c>
      <c r="GT19">
        <v>89</v>
      </c>
      <c r="GU19">
        <v>11</v>
      </c>
      <c r="GV19">
        <v>6</v>
      </c>
      <c r="GW19">
        <v>67.89</v>
      </c>
      <c r="GX19">
        <v>32.65</v>
      </c>
      <c r="GY19">
        <v>16.98</v>
      </c>
      <c r="GZ19">
        <v>17.11</v>
      </c>
      <c r="HB19">
        <v>94</v>
      </c>
      <c r="HC19">
        <v>11</v>
      </c>
      <c r="HD19">
        <v>6</v>
      </c>
      <c r="HE19">
        <v>39.15</v>
      </c>
      <c r="HF19">
        <v>23.12</v>
      </c>
      <c r="HG19">
        <v>10.51</v>
      </c>
      <c r="HH19">
        <v>16.7</v>
      </c>
    </row>
    <row r="20" spans="1:216" x14ac:dyDescent="0.25">
      <c r="B20" s="1" t="s">
        <v>209</v>
      </c>
      <c r="C20" s="3" t="s">
        <v>222</v>
      </c>
      <c r="D20" s="3">
        <v>2</v>
      </c>
      <c r="E20" s="6">
        <v>44.5</v>
      </c>
      <c r="F20" s="6">
        <v>0</v>
      </c>
      <c r="G20" s="6">
        <v>3</v>
      </c>
      <c r="H20" s="6">
        <v>30.4</v>
      </c>
      <c r="I20" s="6">
        <v>0.7</v>
      </c>
      <c r="J20" s="6">
        <v>27.9</v>
      </c>
      <c r="K20" s="6">
        <v>0.45</v>
      </c>
      <c r="L20">
        <v>0.72300000000000009</v>
      </c>
      <c r="M20">
        <v>0.154</v>
      </c>
      <c r="N20">
        <v>1.6500000000000001E-2</v>
      </c>
      <c r="O20">
        <v>5.0999999999999997E-2</v>
      </c>
      <c r="P20">
        <v>7.0012750892590034</v>
      </c>
      <c r="Q20">
        <v>8.1214556099832941E-2</v>
      </c>
      <c r="R20">
        <v>196.80655819079686</v>
      </c>
      <c r="S20">
        <v>1.7502992470265444</v>
      </c>
      <c r="T20">
        <v>2.0674238688451325</v>
      </c>
      <c r="U20">
        <v>29.697065353393555</v>
      </c>
      <c r="V20">
        <v>152.0223</v>
      </c>
      <c r="W20">
        <v>11.157299999999999</v>
      </c>
      <c r="X20">
        <v>35.0518</v>
      </c>
      <c r="Y20">
        <v>0.7339</v>
      </c>
      <c r="Z20">
        <v>152.0223</v>
      </c>
      <c r="AA20">
        <v>0.64300000000000002</v>
      </c>
      <c r="AB20">
        <v>593</v>
      </c>
      <c r="AD20" s="3" t="s">
        <v>223</v>
      </c>
      <c r="AE20" s="3">
        <v>2</v>
      </c>
      <c r="AF20">
        <v>55.2</v>
      </c>
      <c r="AG20">
        <v>4</v>
      </c>
      <c r="AH20">
        <v>12</v>
      </c>
      <c r="AI20">
        <v>34.6</v>
      </c>
      <c r="AJ20">
        <v>29.5</v>
      </c>
      <c r="AK20">
        <v>0.6</v>
      </c>
      <c r="AL20">
        <v>0.5</v>
      </c>
      <c r="AM20">
        <v>209.5</v>
      </c>
      <c r="AN20">
        <v>161.69999999999999</v>
      </c>
      <c r="AO20">
        <v>0.75</v>
      </c>
      <c r="AP20">
        <v>0.72</v>
      </c>
      <c r="AQ20">
        <v>6.8739999999999997</v>
      </c>
      <c r="AR20">
        <v>2.2530000000000001</v>
      </c>
      <c r="AS20">
        <v>4.452</v>
      </c>
      <c r="AT20">
        <v>1.6719999999999999</v>
      </c>
      <c r="AU20">
        <v>63.9</v>
      </c>
      <c r="AV20">
        <v>11</v>
      </c>
      <c r="AW20">
        <v>32</v>
      </c>
      <c r="AX20">
        <v>43.6</v>
      </c>
      <c r="AY20">
        <v>37.6</v>
      </c>
      <c r="AZ20">
        <v>0.9</v>
      </c>
      <c r="BA20">
        <v>0.6</v>
      </c>
      <c r="BB20">
        <v>190.8</v>
      </c>
      <c r="BC20">
        <v>201.7</v>
      </c>
      <c r="BD20">
        <v>0.85</v>
      </c>
      <c r="BE20">
        <v>0.85</v>
      </c>
      <c r="BF20">
        <v>16.914999999999999</v>
      </c>
      <c r="BG20">
        <v>7.5419999999999998</v>
      </c>
      <c r="BH20">
        <v>7.6589999999999998</v>
      </c>
      <c r="BI20">
        <v>1.875</v>
      </c>
      <c r="BJ20">
        <v>19.399603754654429</v>
      </c>
      <c r="BK20">
        <v>2.1261819205622638E-2</v>
      </c>
      <c r="BL20">
        <v>196.07028341060101</v>
      </c>
      <c r="BM20">
        <v>8.3100251300354824</v>
      </c>
      <c r="BN20">
        <v>32.68888247735056</v>
      </c>
      <c r="BO20">
        <v>72.573808288574213</v>
      </c>
      <c r="BP20">
        <v>8.5420102097589155</v>
      </c>
      <c r="BQ20">
        <v>1.2105299240106639E-2</v>
      </c>
      <c r="BR20">
        <v>247.20026469768101</v>
      </c>
      <c r="BS20">
        <v>3.6881268845376227</v>
      </c>
      <c r="BT20">
        <v>25.142761049035805</v>
      </c>
      <c r="BU20">
        <v>67.497610473632818</v>
      </c>
      <c r="BV20">
        <v>16.215385945012535</v>
      </c>
      <c r="BW20">
        <v>4.5681914464261487E-2</v>
      </c>
      <c r="BX20">
        <v>292.36494063743515</v>
      </c>
      <c r="BY20">
        <v>8.87147464270104</v>
      </c>
      <c r="BZ20">
        <v>16.865772047188557</v>
      </c>
      <c r="CA20">
        <v>60.228907012939452</v>
      </c>
      <c r="CB20">
        <v>19.198603615040856</v>
      </c>
      <c r="CC20">
        <v>3.3682529007843943E-2</v>
      </c>
      <c r="CD20">
        <v>233.41159927408853</v>
      </c>
      <c r="CE20">
        <v>10.851315739996815</v>
      </c>
      <c r="CF20">
        <v>26.313718435449857</v>
      </c>
      <c r="CG20">
        <v>68.713258361816401</v>
      </c>
      <c r="CH20">
        <v>400.1943</v>
      </c>
      <c r="CI20">
        <v>52.596299999999999</v>
      </c>
      <c r="CJ20">
        <v>165.2362</v>
      </c>
      <c r="CK20">
        <v>1.3143</v>
      </c>
      <c r="CL20">
        <v>400.1943</v>
      </c>
      <c r="CM20">
        <v>5.4290000000000003</v>
      </c>
      <c r="CN20">
        <v>1171</v>
      </c>
      <c r="CO20">
        <v>360.52066666666661</v>
      </c>
      <c r="CP20">
        <v>55.92163333333334</v>
      </c>
      <c r="CQ20">
        <v>175.68299999999999</v>
      </c>
      <c r="CR20">
        <v>1.5570666666666668</v>
      </c>
      <c r="CS20">
        <v>360.52066666666661</v>
      </c>
      <c r="CT20">
        <v>6.8763333333333341</v>
      </c>
      <c r="CU20">
        <v>957.33333333333337</v>
      </c>
      <c r="CW20">
        <v>89.7</v>
      </c>
      <c r="CX20">
        <v>7</v>
      </c>
      <c r="CY20">
        <v>26</v>
      </c>
      <c r="CZ20">
        <v>25.3</v>
      </c>
      <c r="DA20">
        <v>37.200000000000003</v>
      </c>
      <c r="DB20">
        <v>1</v>
      </c>
      <c r="DC20">
        <v>0.9</v>
      </c>
      <c r="DD20">
        <v>230.67487711071743</v>
      </c>
      <c r="DE20">
        <v>178.31749468902399</v>
      </c>
      <c r="DF20">
        <v>0.78</v>
      </c>
      <c r="DG20">
        <v>0.72</v>
      </c>
      <c r="DH20">
        <v>26.213000000000001</v>
      </c>
      <c r="DI20">
        <v>20.456</v>
      </c>
      <c r="DJ20">
        <v>10.731</v>
      </c>
      <c r="DK20">
        <v>8.5120000000000005</v>
      </c>
      <c r="DL20">
        <v>121.2</v>
      </c>
      <c r="DM20">
        <v>26</v>
      </c>
      <c r="DN20">
        <v>89</v>
      </c>
      <c r="DO20">
        <v>47.8</v>
      </c>
      <c r="DP20">
        <v>48.1</v>
      </c>
      <c r="DQ20">
        <v>1.1000000000000001</v>
      </c>
      <c r="DR20">
        <v>1</v>
      </c>
      <c r="DS20">
        <v>260.39627504105778</v>
      </c>
      <c r="DT20">
        <v>265.50736704822253</v>
      </c>
      <c r="DU20">
        <v>0.84</v>
      </c>
      <c r="DV20">
        <v>0.82</v>
      </c>
      <c r="DW20">
        <v>81.671000000000006</v>
      </c>
      <c r="DX20">
        <v>47.124000000000002</v>
      </c>
      <c r="DY20">
        <v>24.513999999999999</v>
      </c>
      <c r="DZ20">
        <v>15.821</v>
      </c>
      <c r="EB20">
        <v>24.279157215414244</v>
      </c>
      <c r="EC20">
        <v>5.8042639600090908E-2</v>
      </c>
      <c r="ED20">
        <v>266.66494629153317</v>
      </c>
      <c r="EE20">
        <v>13.050420862110254</v>
      </c>
      <c r="EF20">
        <v>19.23586130648059</v>
      </c>
      <c r="EG20">
        <v>62.914867401123047</v>
      </c>
      <c r="EH20">
        <v>16.159712542793692</v>
      </c>
      <c r="EI20">
        <v>4.6565850868202863E-2</v>
      </c>
      <c r="EJ20">
        <v>267.02019451242415</v>
      </c>
      <c r="EK20">
        <v>11.048782800500573</v>
      </c>
      <c r="EL20">
        <v>20.823724906111337</v>
      </c>
      <c r="EM20">
        <v>64.079070281982425</v>
      </c>
      <c r="EO20">
        <v>25.293640112293549</v>
      </c>
      <c r="EP20">
        <v>0.43099139887363214</v>
      </c>
      <c r="EQ20">
        <v>391.25346396560235</v>
      </c>
      <c r="ER20">
        <v>13.564714795476927</v>
      </c>
      <c r="ES20">
        <v>3.2044141394380312</v>
      </c>
      <c r="ET20">
        <v>37.529673767089847</v>
      </c>
      <c r="EU20">
        <v>12.374097026618802</v>
      </c>
      <c r="EV20">
        <v>0.15258828225447174</v>
      </c>
      <c r="EW20">
        <v>404.89334306799714</v>
      </c>
      <c r="EX20">
        <v>6.0106727962652666</v>
      </c>
      <c r="EY20">
        <v>3.791281671812551</v>
      </c>
      <c r="EZ20">
        <v>38.407662963867189</v>
      </c>
      <c r="FB20">
        <v>1563.8686</v>
      </c>
      <c r="FC20">
        <v>374.04680000000002</v>
      </c>
      <c r="FD20">
        <v>1175.1027999999999</v>
      </c>
      <c r="FE20">
        <v>2.3917999999999999</v>
      </c>
      <c r="FF20">
        <v>1563.8686</v>
      </c>
      <c r="FG20">
        <v>70.265000000000001</v>
      </c>
      <c r="FH20">
        <v>6706</v>
      </c>
      <c r="FI20">
        <v>1633.8946000000001</v>
      </c>
      <c r="FJ20">
        <v>279.64370000000002</v>
      </c>
      <c r="FK20">
        <v>878.52650000000006</v>
      </c>
      <c r="FL20">
        <v>1.7115</v>
      </c>
      <c r="FM20">
        <v>1633.8946000000001</v>
      </c>
      <c r="FN20">
        <v>37.590000000000003</v>
      </c>
      <c r="FO20">
        <v>8276</v>
      </c>
      <c r="FQ20">
        <v>11.4</v>
      </c>
      <c r="FR20">
        <v>0.9</v>
      </c>
      <c r="FS20">
        <v>265.50736704822253</v>
      </c>
      <c r="FT20">
        <v>0.83</v>
      </c>
      <c r="FU20">
        <v>29.5</v>
      </c>
      <c r="FV20">
        <v>1.7</v>
      </c>
      <c r="FW20">
        <v>305.14720333872469</v>
      </c>
      <c r="FX20">
        <v>0.81</v>
      </c>
      <c r="FY20">
        <v>21.115026043401059</v>
      </c>
      <c r="FZ20">
        <v>0.39197365052745142</v>
      </c>
      <c r="GA20">
        <v>327.88264781721352</v>
      </c>
      <c r="GB20">
        <v>11.219905270142899</v>
      </c>
      <c r="GC20">
        <v>2.9215481583417646</v>
      </c>
      <c r="GD20">
        <v>37.245624542236328</v>
      </c>
      <c r="GF20">
        <v>17.891956907149741</v>
      </c>
      <c r="GG20">
        <v>0.21273040257141534</v>
      </c>
      <c r="GH20">
        <v>274.1963898905621</v>
      </c>
      <c r="GI20">
        <v>8.6176586273968834</v>
      </c>
      <c r="GJ20">
        <v>3.9443331236698254</v>
      </c>
      <c r="GK20">
        <v>39.519313812255859</v>
      </c>
      <c r="GM20">
        <v>87</v>
      </c>
      <c r="GN20">
        <v>92</v>
      </c>
      <c r="GO20">
        <v>123</v>
      </c>
      <c r="GP20">
        <v>94</v>
      </c>
      <c r="GQ20">
        <v>99</v>
      </c>
      <c r="GR20">
        <v>128</v>
      </c>
      <c r="GT20">
        <v>104</v>
      </c>
      <c r="GU20">
        <v>16</v>
      </c>
      <c r="GV20">
        <v>10</v>
      </c>
      <c r="GW20">
        <v>69.319999999999993</v>
      </c>
      <c r="GX20">
        <v>34.85</v>
      </c>
      <c r="GY20">
        <v>18.03</v>
      </c>
      <c r="GZ20">
        <v>18.54</v>
      </c>
      <c r="HB20">
        <v>102</v>
      </c>
      <c r="HC20">
        <v>10</v>
      </c>
      <c r="HD20">
        <v>6</v>
      </c>
      <c r="HE20">
        <v>19.559999999999999</v>
      </c>
      <c r="HF20">
        <v>22.97</v>
      </c>
      <c r="HG20">
        <v>10.24</v>
      </c>
      <c r="HH20">
        <v>16.2</v>
      </c>
    </row>
    <row r="21" spans="1:216" x14ac:dyDescent="0.25">
      <c r="B21" s="1" t="s">
        <v>209</v>
      </c>
      <c r="C21" s="3" t="s">
        <v>222</v>
      </c>
      <c r="D21" s="3">
        <v>3</v>
      </c>
      <c r="E21" s="6">
        <v>45</v>
      </c>
      <c r="F21" s="6">
        <v>0</v>
      </c>
      <c r="G21" s="6">
        <v>3</v>
      </c>
      <c r="H21" s="6">
        <v>31.3</v>
      </c>
      <c r="I21" s="6">
        <v>0.5</v>
      </c>
      <c r="J21" s="6">
        <v>25.4</v>
      </c>
      <c r="K21" s="6">
        <v>0.2</v>
      </c>
      <c r="L21">
        <v>0.54320000000000002</v>
      </c>
      <c r="M21">
        <v>0.21299999999999999</v>
      </c>
      <c r="N21">
        <v>1.54E-2</v>
      </c>
      <c r="O21">
        <v>5.1999999999999998E-2</v>
      </c>
      <c r="P21">
        <v>7.4293686031014161</v>
      </c>
      <c r="Q21">
        <v>8.0927307056317524E-2</v>
      </c>
      <c r="R21">
        <v>187.85922376544121</v>
      </c>
      <c r="S21">
        <v>1.745346425213395</v>
      </c>
      <c r="T21">
        <v>2.0687706364846496</v>
      </c>
      <c r="U21">
        <v>29.697235107421875</v>
      </c>
      <c r="V21">
        <v>133.6223</v>
      </c>
      <c r="W21">
        <v>8.9748000000000001</v>
      </c>
      <c r="X21">
        <v>28.1952</v>
      </c>
      <c r="Y21">
        <v>0.67169999999999996</v>
      </c>
      <c r="Z21">
        <v>133.6223</v>
      </c>
      <c r="AA21">
        <v>0.47299999999999998</v>
      </c>
      <c r="AB21">
        <v>394</v>
      </c>
      <c r="AD21" s="3" t="s">
        <v>223</v>
      </c>
      <c r="AE21" s="3">
        <v>3</v>
      </c>
      <c r="AF21">
        <v>49.3</v>
      </c>
      <c r="AG21">
        <v>4</v>
      </c>
      <c r="AH21">
        <v>9</v>
      </c>
      <c r="AI21">
        <v>28.1</v>
      </c>
      <c r="AJ21">
        <v>16.399999999999999</v>
      </c>
      <c r="AK21">
        <v>0.7</v>
      </c>
      <c r="AL21">
        <v>0.4</v>
      </c>
      <c r="AM21">
        <v>254.3</v>
      </c>
      <c r="AN21">
        <v>181.6</v>
      </c>
      <c r="AO21">
        <v>0.76</v>
      </c>
      <c r="AP21">
        <v>0.69</v>
      </c>
      <c r="AQ21">
        <v>4.4210000000000003</v>
      </c>
      <c r="AR21">
        <v>1.964</v>
      </c>
      <c r="AS21">
        <v>3.5179999999999998</v>
      </c>
      <c r="AT21">
        <v>1.0980000000000001</v>
      </c>
      <c r="AU21">
        <v>71.3</v>
      </c>
      <c r="AV21">
        <v>10</v>
      </c>
      <c r="AW21">
        <v>27</v>
      </c>
      <c r="AX21">
        <v>54</v>
      </c>
      <c r="AY21">
        <v>42.1</v>
      </c>
      <c r="AZ21">
        <v>1.1000000000000001</v>
      </c>
      <c r="BA21">
        <v>0.9</v>
      </c>
      <c r="BB21">
        <v>222.1</v>
      </c>
      <c r="BC21">
        <v>217.8</v>
      </c>
      <c r="BD21">
        <v>0.81</v>
      </c>
      <c r="BE21">
        <v>0.8</v>
      </c>
      <c r="BF21">
        <v>14.63</v>
      </c>
      <c r="BG21">
        <v>7.4210000000000003</v>
      </c>
      <c r="BH21">
        <v>4.4560000000000004</v>
      </c>
      <c r="BI21">
        <v>1.2250000000000001</v>
      </c>
      <c r="BJ21">
        <v>26.70174670839409</v>
      </c>
      <c r="BK21">
        <v>4.3016764092902594E-2</v>
      </c>
      <c r="BL21">
        <v>244.86350694407264</v>
      </c>
      <c r="BM21">
        <v>11.174325678016206</v>
      </c>
      <c r="BN21">
        <v>22.043472252838647</v>
      </c>
      <c r="BO21">
        <v>65.225634002685553</v>
      </c>
      <c r="BP21">
        <v>15.569380837555013</v>
      </c>
      <c r="BQ21">
        <v>2.8664116929487848E-2</v>
      </c>
      <c r="BR21">
        <v>244.6219440238263</v>
      </c>
      <c r="BS21">
        <v>8.370486285143226</v>
      </c>
      <c r="BT21">
        <v>24.257214394676275</v>
      </c>
      <c r="BU21">
        <v>66.941850280761713</v>
      </c>
      <c r="BV21">
        <v>20.264951697829098</v>
      </c>
      <c r="BW21">
        <v>3.2434331367605519E-2</v>
      </c>
      <c r="BX21">
        <v>239.37770011689037</v>
      </c>
      <c r="BY21">
        <v>9.8594196966709724</v>
      </c>
      <c r="BZ21">
        <v>25.169804032384878</v>
      </c>
      <c r="CA21">
        <v>67.754370117187506</v>
      </c>
      <c r="CB21">
        <v>14.141388853738846</v>
      </c>
      <c r="CC21">
        <v>4.7493828895181202E-2</v>
      </c>
      <c r="CD21">
        <v>288.87076720363348</v>
      </c>
      <c r="CE21">
        <v>9.6805820077969766</v>
      </c>
      <c r="CF21">
        <v>17.64774580722629</v>
      </c>
      <c r="CG21">
        <v>61.062444305419923</v>
      </c>
      <c r="CH21">
        <v>196.4999</v>
      </c>
      <c r="CI21">
        <v>16.662600000000001</v>
      </c>
      <c r="CJ21">
        <v>52.347200000000001</v>
      </c>
      <c r="CK21">
        <v>0.84799999999999998</v>
      </c>
      <c r="CL21">
        <v>196.4999</v>
      </c>
      <c r="CM21">
        <v>1.1100000000000001</v>
      </c>
      <c r="CN21">
        <v>653</v>
      </c>
      <c r="CW21">
        <v>89.1</v>
      </c>
      <c r="CX21">
        <v>7</v>
      </c>
      <c r="CY21">
        <v>28</v>
      </c>
      <c r="CZ21">
        <v>30.1</v>
      </c>
      <c r="DA21">
        <v>36.299999999999997</v>
      </c>
      <c r="DB21">
        <v>1</v>
      </c>
      <c r="DC21">
        <v>0.9</v>
      </c>
      <c r="DD21">
        <v>246.57672602680049</v>
      </c>
      <c r="DE21">
        <v>174.37915463062626</v>
      </c>
      <c r="DF21">
        <v>0.76</v>
      </c>
      <c r="DG21">
        <v>0.69</v>
      </c>
      <c r="DH21">
        <v>24.780999999999999</v>
      </c>
      <c r="DI21">
        <v>18.765000000000001</v>
      </c>
      <c r="DJ21">
        <v>13.345000000000001</v>
      </c>
      <c r="DK21">
        <v>8.6150000000000002</v>
      </c>
      <c r="DL21">
        <v>122.5</v>
      </c>
      <c r="DM21">
        <v>25</v>
      </c>
      <c r="DN21">
        <v>81</v>
      </c>
      <c r="DO21">
        <v>47.7</v>
      </c>
      <c r="DP21">
        <v>43.5</v>
      </c>
      <c r="DQ21">
        <v>1.1000000000000001</v>
      </c>
      <c r="DR21">
        <v>1</v>
      </c>
      <c r="DS21">
        <v>270.58141863344827</v>
      </c>
      <c r="DT21">
        <v>268.89411570635895</v>
      </c>
      <c r="DU21">
        <v>0.83</v>
      </c>
      <c r="DV21">
        <v>0.82</v>
      </c>
      <c r="DW21">
        <v>87.570999999999998</v>
      </c>
      <c r="DX21">
        <v>49.941000000000003</v>
      </c>
      <c r="DY21">
        <v>25.126999999999999</v>
      </c>
      <c r="DZ21">
        <v>13.512</v>
      </c>
      <c r="EB21">
        <v>24.279157215414244</v>
      </c>
      <c r="EC21">
        <v>5.8042639600090908E-2</v>
      </c>
      <c r="ED21">
        <v>266.66494629153317</v>
      </c>
      <c r="EE21">
        <v>13.050420862110254</v>
      </c>
      <c r="EF21">
        <v>19.23586130648059</v>
      </c>
      <c r="EG21">
        <v>62.914867401123047</v>
      </c>
      <c r="EH21">
        <v>19.198603615040856</v>
      </c>
      <c r="EI21">
        <v>3.3682529007843943E-2</v>
      </c>
      <c r="EJ21">
        <v>233.41159927408853</v>
      </c>
      <c r="EK21">
        <v>10.851315739996815</v>
      </c>
      <c r="EL21">
        <v>26.313718435449857</v>
      </c>
      <c r="EM21">
        <v>68.713258361816401</v>
      </c>
      <c r="EO21">
        <v>20.550748670816308</v>
      </c>
      <c r="EP21">
        <v>0.2430340095446489</v>
      </c>
      <c r="EQ21">
        <v>393.29476441746704</v>
      </c>
      <c r="ER21">
        <v>9.0017526827861953</v>
      </c>
      <c r="ES21">
        <v>3.6342229525468581</v>
      </c>
      <c r="ET21">
        <v>38.35818176269531</v>
      </c>
      <c r="EU21">
        <v>5.9102127928059005</v>
      </c>
      <c r="EV21">
        <v>0.1061436250998824</v>
      </c>
      <c r="EW21">
        <v>412.82165217339087</v>
      </c>
      <c r="EX21">
        <v>4.1200336355980163</v>
      </c>
      <c r="EY21">
        <v>3.7063500602332651</v>
      </c>
      <c r="EZ21">
        <v>38.002779388427733</v>
      </c>
      <c r="FB21">
        <v>561.17240000000004</v>
      </c>
      <c r="FC21">
        <v>149.5967</v>
      </c>
      <c r="FD21">
        <v>469.97179999999997</v>
      </c>
      <c r="FE21">
        <v>2.6657999999999999</v>
      </c>
      <c r="FF21">
        <v>561.17240000000004</v>
      </c>
      <c r="FG21">
        <v>31.321000000000002</v>
      </c>
      <c r="FH21">
        <v>2668</v>
      </c>
      <c r="FI21">
        <v>396.20049999999998</v>
      </c>
      <c r="FJ21">
        <v>42.3005</v>
      </c>
      <c r="FK21">
        <v>132.89099999999999</v>
      </c>
      <c r="FL21">
        <v>1.0677000000000001</v>
      </c>
      <c r="FM21">
        <v>396.20049999999998</v>
      </c>
      <c r="FN21">
        <v>3.5470000000000002</v>
      </c>
      <c r="FO21">
        <v>1402</v>
      </c>
      <c r="FQ21">
        <v>11.1</v>
      </c>
      <c r="FR21">
        <v>0.9</v>
      </c>
      <c r="FS21">
        <v>275.61951264135126</v>
      </c>
      <c r="FT21">
        <v>0.82</v>
      </c>
      <c r="FU21">
        <v>35.700000000000003</v>
      </c>
      <c r="FV21">
        <v>1.7</v>
      </c>
      <c r="FW21">
        <v>309.95978395785153</v>
      </c>
      <c r="FX21">
        <v>0.81</v>
      </c>
      <c r="FY21">
        <v>20.594945730596027</v>
      </c>
      <c r="FZ21">
        <v>0.39116497123618588</v>
      </c>
      <c r="GA21">
        <v>330.0841155231754</v>
      </c>
      <c r="GB21">
        <v>11.211757166063846</v>
      </c>
      <c r="GC21">
        <v>2.9249006167754148</v>
      </c>
      <c r="GD21">
        <v>37.253238677978516</v>
      </c>
      <c r="GF21">
        <v>17.86142127517461</v>
      </c>
      <c r="GG21">
        <v>0.21206605987782323</v>
      </c>
      <c r="GH21">
        <v>274.02237920324939</v>
      </c>
      <c r="GI21">
        <v>8.5962941956433632</v>
      </c>
      <c r="GJ21">
        <v>3.9462937394100353</v>
      </c>
      <c r="GK21">
        <v>39.522476196289063</v>
      </c>
      <c r="GM21">
        <v>87</v>
      </c>
      <c r="GN21">
        <v>92</v>
      </c>
      <c r="GO21">
        <v>123</v>
      </c>
      <c r="GP21">
        <v>94</v>
      </c>
      <c r="GQ21">
        <v>99</v>
      </c>
      <c r="GR21">
        <v>128</v>
      </c>
      <c r="GT21">
        <v>125</v>
      </c>
      <c r="GU21">
        <v>12</v>
      </c>
      <c r="GV21">
        <v>5</v>
      </c>
      <c r="GW21">
        <v>66.91</v>
      </c>
      <c r="GX21">
        <v>33.090000000000003</v>
      </c>
      <c r="GY21">
        <v>15.43</v>
      </c>
      <c r="GZ21">
        <v>16.98</v>
      </c>
      <c r="HB21">
        <v>109</v>
      </c>
      <c r="HC21">
        <v>10</v>
      </c>
      <c r="HD21">
        <v>6</v>
      </c>
      <c r="HE21">
        <v>39.17</v>
      </c>
      <c r="HF21">
        <v>23.05</v>
      </c>
      <c r="HG21">
        <v>10.94</v>
      </c>
      <c r="HH21">
        <v>16.3</v>
      </c>
    </row>
    <row r="22" spans="1:216" x14ac:dyDescent="0.25">
      <c r="A22" t="s">
        <v>210</v>
      </c>
      <c r="B22" s="1" t="s">
        <v>211</v>
      </c>
      <c r="C22" s="3" t="s">
        <v>222</v>
      </c>
      <c r="D22" s="3">
        <v>1</v>
      </c>
      <c r="E22" s="6">
        <v>45</v>
      </c>
      <c r="F22" s="6">
        <v>0</v>
      </c>
      <c r="G22" s="6">
        <v>4</v>
      </c>
      <c r="H22" s="6">
        <v>21.5</v>
      </c>
      <c r="I22" s="6">
        <v>0.4</v>
      </c>
      <c r="J22" s="6">
        <v>14.9</v>
      </c>
      <c r="K22" s="6">
        <v>0.3</v>
      </c>
      <c r="L22">
        <v>0.29799999999999999</v>
      </c>
      <c r="M22">
        <v>0.123</v>
      </c>
      <c r="N22">
        <v>0.111</v>
      </c>
      <c r="O22">
        <v>5.1999999999999998E-2</v>
      </c>
      <c r="P22">
        <v>8.2714253219534228</v>
      </c>
      <c r="Q22">
        <v>8.1493694601136174E-2</v>
      </c>
      <c r="R22">
        <v>172.44146687812201</v>
      </c>
      <c r="S22">
        <v>1.7540637520125624</v>
      </c>
      <c r="T22">
        <v>2.0649909632959766</v>
      </c>
      <c r="U22">
        <v>29.672426223754883</v>
      </c>
      <c r="V22">
        <v>56.552</v>
      </c>
      <c r="W22">
        <v>2.7826</v>
      </c>
      <c r="X22">
        <v>8.7418999999999993</v>
      </c>
      <c r="Y22">
        <v>0.49209999999999998</v>
      </c>
      <c r="Z22">
        <v>56.552</v>
      </c>
      <c r="AA22">
        <v>0.108</v>
      </c>
      <c r="AB22">
        <v>190</v>
      </c>
      <c r="AC22" s="1" t="s">
        <v>211</v>
      </c>
      <c r="AD22" s="3" t="s">
        <v>223</v>
      </c>
      <c r="AE22" s="3">
        <v>1</v>
      </c>
      <c r="AF22">
        <v>54.2</v>
      </c>
      <c r="AG22">
        <v>4</v>
      </c>
      <c r="AH22">
        <v>10</v>
      </c>
      <c r="AI22">
        <v>37.4</v>
      </c>
      <c r="AJ22">
        <v>28.5</v>
      </c>
      <c r="AK22">
        <v>0.8</v>
      </c>
      <c r="AL22">
        <v>0.6</v>
      </c>
      <c r="AM22">
        <v>212.8</v>
      </c>
      <c r="AN22">
        <v>121.8</v>
      </c>
      <c r="AO22">
        <v>0.75</v>
      </c>
      <c r="AP22">
        <v>0.67</v>
      </c>
      <c r="AQ22">
        <v>4.3239999999999998</v>
      </c>
      <c r="AR22">
        <v>2.0649999999999999</v>
      </c>
      <c r="AS22">
        <v>3.641</v>
      </c>
      <c r="AT22">
        <v>1.1419999999999999</v>
      </c>
      <c r="AU22">
        <v>64.099999999999994</v>
      </c>
      <c r="AV22">
        <v>12</v>
      </c>
      <c r="AW22">
        <v>29</v>
      </c>
      <c r="AX22">
        <v>55.1</v>
      </c>
      <c r="AY22">
        <v>31.2</v>
      </c>
      <c r="AZ22">
        <v>0.9</v>
      </c>
      <c r="BA22">
        <v>0.8</v>
      </c>
      <c r="BB22">
        <v>252.4</v>
      </c>
      <c r="BC22">
        <v>248.3</v>
      </c>
      <c r="BD22">
        <v>0.85</v>
      </c>
      <c r="BE22">
        <v>0.82</v>
      </c>
      <c r="BF22">
        <v>13.83</v>
      </c>
      <c r="BG22">
        <v>6.9240000000000004</v>
      </c>
      <c r="BH22">
        <v>9.1129999999999995</v>
      </c>
      <c r="BI22">
        <v>2.5150000000000001</v>
      </c>
      <c r="BJ22">
        <v>21.866116810933406</v>
      </c>
      <c r="BK22">
        <v>3.8211672089891902E-2</v>
      </c>
      <c r="BL22">
        <v>226.4007926303546</v>
      </c>
      <c r="BM22">
        <v>11.513272097933765</v>
      </c>
      <c r="BN22">
        <v>26.171778921865389</v>
      </c>
      <c r="BO22">
        <v>68.215569305419919</v>
      </c>
      <c r="BP22">
        <v>17.052662822641711</v>
      </c>
      <c r="BQ22">
        <v>1.5615511077276592E-2</v>
      </c>
      <c r="BR22">
        <v>158.19397953771946</v>
      </c>
      <c r="BS22">
        <v>7.7264318562167968</v>
      </c>
      <c r="BT22">
        <v>39.799700559015626</v>
      </c>
      <c r="BU22">
        <v>76.976727294921872</v>
      </c>
      <c r="BV22">
        <v>20.17732937053912</v>
      </c>
      <c r="BW22">
        <v>2.2878682007264544E-2</v>
      </c>
      <c r="BX22">
        <v>228.92273202331111</v>
      </c>
      <c r="BY22">
        <v>7.3246927704408531</v>
      </c>
      <c r="BZ22">
        <v>26.47000474385316</v>
      </c>
      <c r="CA22">
        <v>68.688267517089841</v>
      </c>
      <c r="CB22">
        <v>16.463668160765426</v>
      </c>
      <c r="CC22">
        <v>3.7064689003479499E-2</v>
      </c>
      <c r="CD22">
        <v>259.22060167865232</v>
      </c>
      <c r="CE22">
        <v>9.4947267241988946</v>
      </c>
      <c r="CF22">
        <v>21.921737346822258</v>
      </c>
      <c r="CG22">
        <v>65.045540618896482</v>
      </c>
      <c r="CH22">
        <v>390.89260000000002</v>
      </c>
      <c r="CI22">
        <v>43.020600000000002</v>
      </c>
      <c r="CJ22">
        <v>135.15309999999999</v>
      </c>
      <c r="CK22">
        <v>1.1006</v>
      </c>
      <c r="CL22">
        <v>390.89260000000002</v>
      </c>
      <c r="CM22">
        <v>3.7189999999999999</v>
      </c>
      <c r="CN22">
        <v>1427</v>
      </c>
      <c r="CO22">
        <v>304.56583333333333</v>
      </c>
      <c r="CP22">
        <v>33.470599999999997</v>
      </c>
      <c r="CQ22">
        <v>105.15089999999999</v>
      </c>
      <c r="CR22">
        <v>1.1126333333333334</v>
      </c>
      <c r="CS22">
        <v>304.56583333333333</v>
      </c>
      <c r="CT22">
        <v>2.9013333333333335</v>
      </c>
      <c r="CU22">
        <v>1099.6666666666667</v>
      </c>
      <c r="CW22">
        <v>93.5</v>
      </c>
      <c r="CX22">
        <v>5</v>
      </c>
      <c r="CY22">
        <v>18</v>
      </c>
      <c r="CZ22">
        <v>28.7</v>
      </c>
      <c r="DA22">
        <v>34.799999999999997</v>
      </c>
      <c r="DB22">
        <v>0.7</v>
      </c>
      <c r="DC22">
        <v>0.9</v>
      </c>
      <c r="DD22">
        <v>256.96774120462396</v>
      </c>
      <c r="DE22">
        <v>172.39847386418757</v>
      </c>
      <c r="DF22">
        <v>0.79</v>
      </c>
      <c r="DG22">
        <v>0.67</v>
      </c>
      <c r="DH22">
        <v>19.315999999999999</v>
      </c>
      <c r="DI22">
        <v>15.622999999999999</v>
      </c>
      <c r="DJ22">
        <v>8.923</v>
      </c>
      <c r="DK22">
        <v>4.3570000000000002</v>
      </c>
      <c r="DL22">
        <v>95.6</v>
      </c>
      <c r="DM22">
        <v>25</v>
      </c>
      <c r="DN22">
        <v>89</v>
      </c>
      <c r="DO22">
        <v>38.1</v>
      </c>
      <c r="DP22">
        <v>38.6</v>
      </c>
      <c r="DQ22">
        <v>1.1000000000000001</v>
      </c>
      <c r="DR22">
        <v>1</v>
      </c>
      <c r="DS22">
        <v>359.62106273871439</v>
      </c>
      <c r="DT22">
        <v>335.15422333859686</v>
      </c>
      <c r="DU22">
        <v>0.84</v>
      </c>
      <c r="DV22">
        <v>0.82</v>
      </c>
      <c r="DW22">
        <v>45.127000000000002</v>
      </c>
      <c r="DX22">
        <v>25.853999999999999</v>
      </c>
      <c r="DY22">
        <v>13.695</v>
      </c>
      <c r="DZ22">
        <v>11.923</v>
      </c>
      <c r="EB22">
        <v>20.264951697829098</v>
      </c>
      <c r="EC22">
        <v>3.2434331367605519E-2</v>
      </c>
      <c r="ED22">
        <v>239.37770011689037</v>
      </c>
      <c r="EE22">
        <v>9.8594196966709724</v>
      </c>
      <c r="EF22">
        <v>25.169804032384878</v>
      </c>
      <c r="EG22">
        <v>67.754370117187506</v>
      </c>
      <c r="EH22">
        <v>14.141388853738846</v>
      </c>
      <c r="EI22">
        <v>4.7493828895181202E-2</v>
      </c>
      <c r="EJ22">
        <v>288.87076720363348</v>
      </c>
      <c r="EK22">
        <v>9.6805820077969766</v>
      </c>
      <c r="EL22">
        <v>17.64774580722629</v>
      </c>
      <c r="EM22">
        <v>61.062444305419923</v>
      </c>
      <c r="EO22">
        <v>19.984341093043007</v>
      </c>
      <c r="EP22">
        <v>0.20905355245522853</v>
      </c>
      <c r="EQ22">
        <v>388.8606767787046</v>
      </c>
      <c r="ER22">
        <v>8.3459125586144491</v>
      </c>
      <c r="ES22">
        <v>3.8856527475428995</v>
      </c>
      <c r="ET22">
        <v>38.878528594970703</v>
      </c>
      <c r="EU22">
        <v>7.2217811607872013</v>
      </c>
      <c r="EV22">
        <v>7.9865724906510047E-2</v>
      </c>
      <c r="EW22">
        <v>407.72517301791493</v>
      </c>
      <c r="EX22">
        <v>3.5171142418171373</v>
      </c>
      <c r="EY22">
        <v>4.1720537861586804</v>
      </c>
      <c r="EZ22">
        <v>38.913047790527344</v>
      </c>
      <c r="FB22">
        <v>861.42229999999995</v>
      </c>
      <c r="FC22">
        <v>244.64760000000001</v>
      </c>
      <c r="FD22">
        <v>768.58299999999997</v>
      </c>
      <c r="FE22">
        <v>2.84</v>
      </c>
      <c r="FF22">
        <v>861.42229999999995</v>
      </c>
      <c r="FG22">
        <v>54.57</v>
      </c>
      <c r="FH22">
        <v>5095</v>
      </c>
      <c r="FI22">
        <v>683.89059999999995</v>
      </c>
      <c r="FJ22">
        <v>146.25479999999999</v>
      </c>
      <c r="FK22">
        <v>459.47289999999998</v>
      </c>
      <c r="FL22">
        <v>2.1385999999999998</v>
      </c>
      <c r="FM22">
        <v>683.89059999999995</v>
      </c>
      <c r="FN22">
        <v>24.565000000000001</v>
      </c>
      <c r="FO22">
        <v>3890</v>
      </c>
      <c r="FQ22">
        <v>24.5</v>
      </c>
      <c r="FR22">
        <v>0.9</v>
      </c>
      <c r="FS22">
        <v>258.68415098065896</v>
      </c>
      <c r="FT22">
        <v>0.81</v>
      </c>
      <c r="FU22">
        <v>27</v>
      </c>
      <c r="FV22">
        <v>1.3</v>
      </c>
      <c r="FW22">
        <v>336.70380810358051</v>
      </c>
      <c r="FX22">
        <v>0.82</v>
      </c>
      <c r="FY22">
        <v>16.769909676693825</v>
      </c>
      <c r="FZ22">
        <v>0.29281799974556039</v>
      </c>
      <c r="GA22">
        <v>323.05076869728185</v>
      </c>
      <c r="GB22">
        <v>10.10730792214833</v>
      </c>
      <c r="GC22">
        <v>3.4390543511535627</v>
      </c>
      <c r="GD22">
        <v>38.505680084228516</v>
      </c>
      <c r="GF22">
        <v>15.698042678538448</v>
      </c>
      <c r="GG22">
        <v>0.23108152460629983</v>
      </c>
      <c r="GH22">
        <v>301.49740268497504</v>
      </c>
      <c r="GI22">
        <v>8.9496212191524354</v>
      </c>
      <c r="GJ22">
        <v>3.7880532987166813</v>
      </c>
      <c r="GK22">
        <v>39.177394866943359</v>
      </c>
      <c r="GM22">
        <v>75</v>
      </c>
      <c r="GN22">
        <v>79</v>
      </c>
      <c r="GO22">
        <v>110</v>
      </c>
      <c r="GP22">
        <v>80</v>
      </c>
      <c r="GQ22">
        <v>84</v>
      </c>
      <c r="GR22">
        <v>118</v>
      </c>
      <c r="GT22">
        <v>101</v>
      </c>
      <c r="GU22">
        <v>21</v>
      </c>
      <c r="GV22">
        <v>17</v>
      </c>
      <c r="GW22">
        <v>51.07</v>
      </c>
      <c r="GX22">
        <v>38.65</v>
      </c>
      <c r="GY22">
        <v>16.52</v>
      </c>
      <c r="GZ22">
        <v>15.51</v>
      </c>
      <c r="HB22">
        <v>105</v>
      </c>
      <c r="HC22">
        <v>6</v>
      </c>
      <c r="HD22">
        <v>4</v>
      </c>
      <c r="HE22">
        <v>42.15</v>
      </c>
      <c r="HF22">
        <v>21.52</v>
      </c>
      <c r="HG22">
        <v>9.8000000000000007</v>
      </c>
      <c r="HH22">
        <v>15.95</v>
      </c>
    </row>
    <row r="23" spans="1:216" x14ac:dyDescent="0.25">
      <c r="B23" s="1" t="s">
        <v>211</v>
      </c>
      <c r="C23" s="3" t="s">
        <v>222</v>
      </c>
      <c r="D23" s="3">
        <v>2</v>
      </c>
      <c r="E23" s="6">
        <v>29.1</v>
      </c>
      <c r="F23" s="6">
        <v>0</v>
      </c>
      <c r="G23" s="6">
        <v>3</v>
      </c>
      <c r="H23" s="6">
        <v>15.4</v>
      </c>
      <c r="I23" s="6">
        <v>0.2</v>
      </c>
      <c r="J23" s="6">
        <v>12.7</v>
      </c>
      <c r="K23" s="6">
        <v>0.2</v>
      </c>
      <c r="L23">
        <v>0.24399999999999999</v>
      </c>
      <c r="M23">
        <v>0.126</v>
      </c>
      <c r="N23">
        <v>0.10100000000000001</v>
      </c>
      <c r="O23">
        <v>4.9000000000000002E-2</v>
      </c>
      <c r="P23">
        <v>8.7847187401999438</v>
      </c>
      <c r="Q23">
        <v>8.2568762778033905E-2</v>
      </c>
      <c r="R23">
        <v>164.77955122253218</v>
      </c>
      <c r="S23">
        <v>1.7741104640063847</v>
      </c>
      <c r="T23">
        <v>2.0619231735774362</v>
      </c>
      <c r="U23">
        <v>29.65483283996582</v>
      </c>
      <c r="V23">
        <v>83.229100000000003</v>
      </c>
      <c r="W23">
        <v>2.9089999999999998</v>
      </c>
      <c r="X23">
        <v>9.1388999999999996</v>
      </c>
      <c r="Y23">
        <v>0.34949999999999998</v>
      </c>
      <c r="Z23">
        <v>83.229100000000003</v>
      </c>
      <c r="AA23">
        <v>0.08</v>
      </c>
      <c r="AB23">
        <v>429</v>
      </c>
      <c r="AD23" s="3" t="s">
        <v>223</v>
      </c>
      <c r="AE23" s="3">
        <v>2</v>
      </c>
      <c r="AF23">
        <v>59.3</v>
      </c>
      <c r="AG23">
        <v>4</v>
      </c>
      <c r="AH23">
        <v>13</v>
      </c>
      <c r="AI23">
        <v>39.4</v>
      </c>
      <c r="AJ23">
        <v>30.3</v>
      </c>
      <c r="AK23">
        <v>0.7</v>
      </c>
      <c r="AL23">
        <v>0.4</v>
      </c>
      <c r="AM23">
        <v>251.8</v>
      </c>
      <c r="AN23">
        <v>134.80000000000001</v>
      </c>
      <c r="AO23">
        <v>0.79</v>
      </c>
      <c r="AP23">
        <v>0.65</v>
      </c>
      <c r="AQ23">
        <v>5.0309999999999997</v>
      </c>
      <c r="AR23">
        <v>1.5649999999999999</v>
      </c>
      <c r="AS23">
        <v>3.5569999999999999</v>
      </c>
      <c r="AT23">
        <v>1.0089999999999999</v>
      </c>
      <c r="AU23">
        <v>58.5</v>
      </c>
      <c r="AV23">
        <v>11</v>
      </c>
      <c r="AW23">
        <v>38</v>
      </c>
      <c r="AX23">
        <v>40</v>
      </c>
      <c r="AY23">
        <v>30.3</v>
      </c>
      <c r="AZ23">
        <v>0.8</v>
      </c>
      <c r="BA23">
        <v>0.8</v>
      </c>
      <c r="BB23">
        <v>249.9</v>
      </c>
      <c r="BC23">
        <v>216.4</v>
      </c>
      <c r="BD23">
        <v>0.84</v>
      </c>
      <c r="BE23">
        <v>0.84</v>
      </c>
      <c r="BF23">
        <v>14.340999999999999</v>
      </c>
      <c r="BG23">
        <v>7.2119999999999997</v>
      </c>
      <c r="BH23">
        <v>9.9429999999999996</v>
      </c>
      <c r="BI23">
        <v>2.0649999999999999</v>
      </c>
      <c r="BJ23">
        <v>25.880947891950751</v>
      </c>
      <c r="BK23">
        <v>5.0456385242150105E-2</v>
      </c>
      <c r="BL23">
        <v>258.35647527157204</v>
      </c>
      <c r="BM23">
        <v>11.878589207962602</v>
      </c>
      <c r="BN23">
        <v>20.110633841318183</v>
      </c>
      <c r="BO23">
        <v>63.409752655029294</v>
      </c>
      <c r="BP23">
        <v>10.064286539421555</v>
      </c>
      <c r="BQ23">
        <v>1.1516702054061722E-2</v>
      </c>
      <c r="BR23">
        <v>245.19610454582636</v>
      </c>
      <c r="BS23">
        <v>3.5035806157616505</v>
      </c>
      <c r="BT23">
        <v>25.118969572390785</v>
      </c>
      <c r="BU23">
        <v>67.437063598632818</v>
      </c>
      <c r="BV23">
        <v>21.745902721755485</v>
      </c>
      <c r="BW23">
        <v>3.7536316769588247E-2</v>
      </c>
      <c r="BX23">
        <v>237.14334890358055</v>
      </c>
      <c r="BY23">
        <v>10.705752452067909</v>
      </c>
      <c r="BZ23">
        <v>24.687937400531975</v>
      </c>
      <c r="CA23">
        <v>67.238722229003912</v>
      </c>
      <c r="CB23">
        <v>17.30175840292037</v>
      </c>
      <c r="CC23">
        <v>3.3520039295765261E-2</v>
      </c>
      <c r="CD23">
        <v>229.33375072497535</v>
      </c>
      <c r="CE23">
        <v>10.834020450269341</v>
      </c>
      <c r="CF23">
        <v>26.880548285318859</v>
      </c>
      <c r="CG23">
        <v>69.090591430664063</v>
      </c>
      <c r="CH23">
        <v>317.66969999999998</v>
      </c>
      <c r="CI23">
        <v>32.455399999999997</v>
      </c>
      <c r="CJ23">
        <v>101.9616</v>
      </c>
      <c r="CK23">
        <v>1.0217000000000001</v>
      </c>
      <c r="CL23">
        <v>317.66969999999998</v>
      </c>
      <c r="CM23">
        <v>2.6040000000000001</v>
      </c>
      <c r="CN23">
        <v>1368</v>
      </c>
      <c r="CO23">
        <v>288.24759999999998</v>
      </c>
      <c r="CP23">
        <v>27.666633333333333</v>
      </c>
      <c r="CQ23">
        <v>86.917333333333332</v>
      </c>
      <c r="CR23">
        <v>0.96586666666666654</v>
      </c>
      <c r="CS23">
        <v>288.24759999999998</v>
      </c>
      <c r="CT23">
        <v>2.0933333333333333</v>
      </c>
      <c r="CU23">
        <v>1281.6666666666667</v>
      </c>
      <c r="CW23">
        <v>92.8</v>
      </c>
      <c r="CX23">
        <v>7</v>
      </c>
      <c r="CY23">
        <v>25</v>
      </c>
      <c r="CZ23">
        <v>28.2</v>
      </c>
      <c r="DA23">
        <v>33.700000000000003</v>
      </c>
      <c r="DB23">
        <v>0.7</v>
      </c>
      <c r="DC23">
        <v>1</v>
      </c>
      <c r="DD23">
        <v>248.31981629108327</v>
      </c>
      <c r="DE23">
        <v>176.35212075207826</v>
      </c>
      <c r="DF23">
        <v>0.79</v>
      </c>
      <c r="DG23">
        <v>0.65</v>
      </c>
      <c r="DH23">
        <v>21.681000000000001</v>
      </c>
      <c r="DI23">
        <v>17.259</v>
      </c>
      <c r="DJ23">
        <v>7.8650000000000002</v>
      </c>
      <c r="DK23">
        <v>5.0140000000000002</v>
      </c>
      <c r="DL23">
        <v>89.1</v>
      </c>
      <c r="DM23">
        <v>38</v>
      </c>
      <c r="DN23">
        <v>134</v>
      </c>
      <c r="DO23">
        <v>39.9</v>
      </c>
      <c r="DP23">
        <v>38</v>
      </c>
      <c r="DQ23">
        <v>1.1000000000000001</v>
      </c>
      <c r="DR23">
        <v>1</v>
      </c>
      <c r="DS23">
        <v>356.59962632674217</v>
      </c>
      <c r="DT23">
        <v>336.70380810358051</v>
      </c>
      <c r="DU23">
        <v>0.84</v>
      </c>
      <c r="DV23">
        <v>0.84</v>
      </c>
      <c r="DW23">
        <v>46.518999999999998</v>
      </c>
      <c r="DX23">
        <v>20.564</v>
      </c>
      <c r="DY23">
        <v>13.984999999999999</v>
      </c>
      <c r="DZ23">
        <v>9.6519999999999992</v>
      </c>
      <c r="EB23">
        <v>20.17732937053912</v>
      </c>
      <c r="EC23">
        <v>2.2878682007264544E-2</v>
      </c>
      <c r="ED23">
        <v>228.92273202331111</v>
      </c>
      <c r="EE23">
        <v>7.3246927704408531</v>
      </c>
      <c r="EF23">
        <v>26.47000474385316</v>
      </c>
      <c r="EG23">
        <v>68.688267517089841</v>
      </c>
      <c r="EH23">
        <v>16.463668160765426</v>
      </c>
      <c r="EI23">
        <v>3.7064689003479499E-2</v>
      </c>
      <c r="EJ23">
        <v>259.22060167865232</v>
      </c>
      <c r="EK23">
        <v>9.4947267241988946</v>
      </c>
      <c r="EL23">
        <v>21.921737346822258</v>
      </c>
      <c r="EM23">
        <v>65.045540618896482</v>
      </c>
      <c r="EO23">
        <v>19.840418633256345</v>
      </c>
      <c r="EP23">
        <v>0.2089200555531337</v>
      </c>
      <c r="EQ23">
        <v>389.02432881852542</v>
      </c>
      <c r="ER23">
        <v>8.3407409977605234</v>
      </c>
      <c r="ES23">
        <v>3.8855907209885392</v>
      </c>
      <c r="ET23">
        <v>38.878826141357422</v>
      </c>
      <c r="EU23">
        <v>7.4286520958556315</v>
      </c>
      <c r="EV23">
        <v>7.916833177427908E-2</v>
      </c>
      <c r="EW23">
        <v>407.4658185287351</v>
      </c>
      <c r="EX23">
        <v>3.4885128177365763</v>
      </c>
      <c r="EY23">
        <v>4.1739572709533235</v>
      </c>
      <c r="EZ23">
        <v>38.916820526123047</v>
      </c>
      <c r="FB23">
        <v>433.17700000000002</v>
      </c>
      <c r="FC23">
        <v>236.34350000000001</v>
      </c>
      <c r="FD23">
        <v>742.495</v>
      </c>
      <c r="FE23">
        <v>5.4560000000000004</v>
      </c>
      <c r="FF23">
        <v>433.17700000000002</v>
      </c>
      <c r="FG23">
        <v>101.277</v>
      </c>
      <c r="FH23">
        <v>3429</v>
      </c>
      <c r="FI23">
        <v>1307.0854999999999</v>
      </c>
      <c r="FJ23">
        <v>181.3081</v>
      </c>
      <c r="FK23">
        <v>569.596</v>
      </c>
      <c r="FL23">
        <v>1.3871</v>
      </c>
      <c r="FM23">
        <v>1307.0854999999999</v>
      </c>
      <c r="FN23">
        <v>19.751999999999999</v>
      </c>
      <c r="FO23">
        <v>5041</v>
      </c>
      <c r="FQ23">
        <v>22</v>
      </c>
      <c r="FR23">
        <v>1</v>
      </c>
      <c r="FS23">
        <v>270.58141863344827</v>
      </c>
      <c r="FT23">
        <v>0.81</v>
      </c>
      <c r="FU23">
        <v>24.1</v>
      </c>
      <c r="FV23">
        <v>1.3</v>
      </c>
      <c r="FW23">
        <v>332.04652386333538</v>
      </c>
      <c r="FX23">
        <v>0.82</v>
      </c>
      <c r="FY23">
        <v>16.835688910661755</v>
      </c>
      <c r="FZ23">
        <v>0.29219311009516302</v>
      </c>
      <c r="GA23">
        <v>322.47205990079482</v>
      </c>
      <c r="GB23">
        <v>10.094769703997844</v>
      </c>
      <c r="GC23">
        <v>3.4416361078393822</v>
      </c>
      <c r="GD23">
        <v>38.510746002197266</v>
      </c>
      <c r="GF23">
        <v>15.709911004046381</v>
      </c>
      <c r="GG23">
        <v>0.23076435309506332</v>
      </c>
      <c r="GH23">
        <v>301.26001497191965</v>
      </c>
      <c r="GI23">
        <v>8.9380716652599581</v>
      </c>
      <c r="GJ23">
        <v>3.7881140910497435</v>
      </c>
      <c r="GK23">
        <v>39.176467895507813</v>
      </c>
      <c r="GM23">
        <v>75</v>
      </c>
      <c r="GN23">
        <v>79</v>
      </c>
      <c r="GO23">
        <v>110</v>
      </c>
      <c r="GP23">
        <v>80</v>
      </c>
      <c r="GQ23">
        <v>84</v>
      </c>
      <c r="GR23">
        <v>118</v>
      </c>
      <c r="GT23">
        <v>109</v>
      </c>
      <c r="GU23">
        <v>27</v>
      </c>
      <c r="GV23">
        <v>17</v>
      </c>
      <c r="GW23">
        <v>48.11</v>
      </c>
      <c r="GX23">
        <v>37.15</v>
      </c>
      <c r="GY23">
        <v>15.95</v>
      </c>
      <c r="GZ23">
        <v>14.96</v>
      </c>
      <c r="HB23">
        <v>94</v>
      </c>
      <c r="HC23">
        <v>11</v>
      </c>
      <c r="HD23">
        <v>8</v>
      </c>
      <c r="HE23">
        <v>43.145000000000003</v>
      </c>
      <c r="HF23">
        <v>22.952000000000002</v>
      </c>
      <c r="HG23">
        <v>10.95</v>
      </c>
      <c r="HH23">
        <v>16.52</v>
      </c>
    </row>
    <row r="24" spans="1:216" x14ac:dyDescent="0.25">
      <c r="B24" s="1" t="s">
        <v>211</v>
      </c>
      <c r="C24" s="3" t="s">
        <v>222</v>
      </c>
      <c r="D24" s="3">
        <v>3</v>
      </c>
      <c r="E24" s="6">
        <v>30.9</v>
      </c>
      <c r="F24" s="6">
        <v>0</v>
      </c>
      <c r="G24" s="6">
        <v>3</v>
      </c>
      <c r="H24" s="6">
        <v>17.2</v>
      </c>
      <c r="I24" s="6">
        <v>0.4</v>
      </c>
      <c r="J24" s="6">
        <v>14.7</v>
      </c>
      <c r="K24" s="6">
        <v>0.3</v>
      </c>
      <c r="L24">
        <v>0.23699999999999999</v>
      </c>
      <c r="M24">
        <v>0.13700000000000001</v>
      </c>
      <c r="N24">
        <v>0.11799999999999999</v>
      </c>
      <c r="O24">
        <v>4.2000000000000003E-2</v>
      </c>
      <c r="P24">
        <v>10.927255238782267</v>
      </c>
      <c r="Q24">
        <v>0.14266873546017833</v>
      </c>
      <c r="R24">
        <v>199.37645666666191</v>
      </c>
      <c r="S24">
        <v>2.9483609084952338</v>
      </c>
      <c r="T24">
        <v>2.0907761304692469</v>
      </c>
      <c r="U24">
        <v>27.775532150268553</v>
      </c>
      <c r="V24">
        <v>96.647099999999995</v>
      </c>
      <c r="W24">
        <v>4.0311000000000003</v>
      </c>
      <c r="X24">
        <v>12.664199999999999</v>
      </c>
      <c r="Y24">
        <v>0.41710000000000003</v>
      </c>
      <c r="Z24">
        <v>96.647099999999995</v>
      </c>
      <c r="AA24">
        <v>0.13200000000000001</v>
      </c>
      <c r="AB24">
        <v>404</v>
      </c>
      <c r="AD24" s="3" t="s">
        <v>223</v>
      </c>
      <c r="AE24" s="3">
        <v>3</v>
      </c>
      <c r="AF24">
        <v>73</v>
      </c>
      <c r="AG24">
        <v>4</v>
      </c>
      <c r="AH24">
        <v>10</v>
      </c>
      <c r="AI24">
        <v>52.3</v>
      </c>
      <c r="AJ24">
        <v>24.3</v>
      </c>
      <c r="AK24">
        <v>0.8</v>
      </c>
      <c r="AL24">
        <v>0.6</v>
      </c>
      <c r="AM24">
        <v>247.6</v>
      </c>
      <c r="AN24">
        <v>120.6</v>
      </c>
      <c r="AO24">
        <v>0.76</v>
      </c>
      <c r="AP24">
        <v>0.61</v>
      </c>
      <c r="AQ24">
        <v>5.3419999999999996</v>
      </c>
      <c r="AR24">
        <v>1.675</v>
      </c>
      <c r="AS24">
        <v>3.2709999999999999</v>
      </c>
      <c r="AT24">
        <v>9.9000000000000005E-2</v>
      </c>
      <c r="AU24">
        <v>55.7</v>
      </c>
      <c r="AV24">
        <v>11</v>
      </c>
      <c r="AW24">
        <v>38</v>
      </c>
      <c r="AX24">
        <v>36.799999999999997</v>
      </c>
      <c r="AY24">
        <v>31.3</v>
      </c>
      <c r="AZ24">
        <v>0.9</v>
      </c>
      <c r="BA24">
        <v>0.7</v>
      </c>
      <c r="BB24">
        <v>254</v>
      </c>
      <c r="BC24">
        <v>217.8</v>
      </c>
      <c r="BD24">
        <v>0.83</v>
      </c>
      <c r="BE24">
        <v>0.83</v>
      </c>
      <c r="BF24">
        <v>14.031000000000001</v>
      </c>
      <c r="BG24">
        <v>7.9829999999999997</v>
      </c>
      <c r="BH24">
        <v>10.54</v>
      </c>
      <c r="BI24">
        <v>3.512</v>
      </c>
      <c r="BJ24">
        <v>20.223615925503481</v>
      </c>
      <c r="BK24">
        <v>1.973077837016653E-2</v>
      </c>
      <c r="BL24">
        <v>149.73562568817329</v>
      </c>
      <c r="BM24">
        <v>10.503189591617078</v>
      </c>
      <c r="BN24">
        <v>40.679045824133311</v>
      </c>
      <c r="BO24">
        <v>77.788226318359378</v>
      </c>
      <c r="BP24">
        <v>3.2720018057989897</v>
      </c>
      <c r="BQ24">
        <v>3.4868593095284451E-3</v>
      </c>
      <c r="BR24">
        <v>208.54550439816171</v>
      </c>
      <c r="BS24">
        <v>1.3720418322133614</v>
      </c>
      <c r="BT24">
        <v>32.50707316668975</v>
      </c>
      <c r="BU24">
        <v>72.438131713867193</v>
      </c>
      <c r="BV24">
        <v>19.107238344285328</v>
      </c>
      <c r="BW24">
        <v>2.5953922994778965E-2</v>
      </c>
      <c r="BX24">
        <v>215.60726313398476</v>
      </c>
      <c r="BY24">
        <v>9.2178206249363441</v>
      </c>
      <c r="BZ24">
        <v>28.782732866436156</v>
      </c>
      <c r="CA24">
        <v>70.551739501953122</v>
      </c>
      <c r="CB24">
        <v>18.354425654203226</v>
      </c>
      <c r="CC24">
        <v>3.4038513005647322E-2</v>
      </c>
      <c r="CD24">
        <v>242.14921868184956</v>
      </c>
      <c r="CE24">
        <v>9.3802622152248141</v>
      </c>
      <c r="CF24">
        <v>24.254312566113832</v>
      </c>
      <c r="CG24">
        <v>66.859875488281247</v>
      </c>
      <c r="CH24">
        <v>205.1352</v>
      </c>
      <c r="CI24">
        <v>24.9358</v>
      </c>
      <c r="CJ24">
        <v>78.337999999999994</v>
      </c>
      <c r="CK24">
        <v>1.2156</v>
      </c>
      <c r="CL24">
        <v>205.1352</v>
      </c>
      <c r="CM24">
        <v>2.3809999999999998</v>
      </c>
      <c r="CN24">
        <v>504</v>
      </c>
      <c r="CW24">
        <v>92.1</v>
      </c>
      <c r="CX24">
        <v>7</v>
      </c>
      <c r="CY24">
        <v>24</v>
      </c>
      <c r="CZ24">
        <v>28.1</v>
      </c>
      <c r="DA24">
        <v>33.200000000000003</v>
      </c>
      <c r="DB24">
        <v>0.7</v>
      </c>
      <c r="DC24">
        <v>1</v>
      </c>
      <c r="DD24">
        <v>237.79100293805442</v>
      </c>
      <c r="DE24">
        <v>188.03453858994482</v>
      </c>
      <c r="DF24">
        <v>0.78</v>
      </c>
      <c r="DG24">
        <v>0.61</v>
      </c>
      <c r="DH24">
        <v>22.603999999999999</v>
      </c>
      <c r="DI24">
        <v>16.527000000000001</v>
      </c>
      <c r="DJ24">
        <v>8.65</v>
      </c>
      <c r="DL24">
        <v>105.3</v>
      </c>
      <c r="DM24">
        <v>21</v>
      </c>
      <c r="DN24">
        <v>57</v>
      </c>
      <c r="DO24">
        <v>37.5</v>
      </c>
      <c r="DP24">
        <v>43.1</v>
      </c>
      <c r="DQ24">
        <v>1.1000000000000001</v>
      </c>
      <c r="DR24">
        <v>1</v>
      </c>
      <c r="DS24">
        <v>365.63375122899635</v>
      </c>
      <c r="DT24">
        <v>335.15422333859686</v>
      </c>
      <c r="DU24">
        <v>0.83</v>
      </c>
      <c r="DV24">
        <v>0.83</v>
      </c>
      <c r="DW24">
        <v>37.613999999999997</v>
      </c>
      <c r="DX24">
        <v>18.542000000000002</v>
      </c>
      <c r="DY24">
        <v>11.615</v>
      </c>
      <c r="DZ24">
        <v>6.5229999999999997</v>
      </c>
      <c r="EB24">
        <v>21.745902721755485</v>
      </c>
      <c r="EC24">
        <v>3.7536316769588247E-2</v>
      </c>
      <c r="ED24">
        <v>237.14334890358055</v>
      </c>
      <c r="EE24">
        <v>10.705752452067909</v>
      </c>
      <c r="EF24">
        <v>24.687937400531975</v>
      </c>
      <c r="EG24">
        <v>67.238722229003912</v>
      </c>
      <c r="EH24">
        <v>17.30175840292037</v>
      </c>
      <c r="EI24">
        <v>3.3520039295765261E-2</v>
      </c>
      <c r="EJ24">
        <v>229.33375072497535</v>
      </c>
      <c r="EK24">
        <v>10.834020450269341</v>
      </c>
      <c r="EL24">
        <v>26.880548285318859</v>
      </c>
      <c r="EM24">
        <v>69.090591430664063</v>
      </c>
      <c r="EO24">
        <v>19.151798626174056</v>
      </c>
      <c r="EP24">
        <v>0.30092559440236993</v>
      </c>
      <c r="EQ24">
        <v>395.75354445187338</v>
      </c>
      <c r="ER24">
        <v>10.596867496348052</v>
      </c>
      <c r="ES24">
        <v>3.5014423845387883</v>
      </c>
      <c r="ET24">
        <v>38.353939819335935</v>
      </c>
      <c r="EU24">
        <v>5.6733834943245691</v>
      </c>
      <c r="EV24">
        <v>8.4788098783858554E-2</v>
      </c>
      <c r="EW24">
        <v>412.77920578967257</v>
      </c>
      <c r="EX24">
        <v>3.4767763578281126</v>
      </c>
      <c r="EY24">
        <v>3.8955541865187464</v>
      </c>
      <c r="EZ24">
        <v>38.562391662597655</v>
      </c>
      <c r="FB24">
        <v>411.35770000000002</v>
      </c>
      <c r="FC24">
        <v>294.02379999999999</v>
      </c>
      <c r="FD24">
        <v>923.70299999999997</v>
      </c>
      <c r="FE24">
        <v>7.1475999999999997</v>
      </c>
      <c r="FF24">
        <v>411.35770000000002</v>
      </c>
      <c r="FG24">
        <v>165.05699999999999</v>
      </c>
      <c r="FH24">
        <v>3716</v>
      </c>
      <c r="FI24">
        <v>995.48804999999993</v>
      </c>
      <c r="FJ24">
        <v>163.78145000000001</v>
      </c>
      <c r="FK24">
        <v>514.53444999999999</v>
      </c>
      <c r="FL24">
        <v>1.7628499999999998</v>
      </c>
      <c r="FM24">
        <v>995.48804999999993</v>
      </c>
      <c r="FN24">
        <v>22.1585</v>
      </c>
      <c r="FO24">
        <v>4465.5</v>
      </c>
      <c r="FQ24">
        <v>23.2</v>
      </c>
      <c r="FR24">
        <v>1</v>
      </c>
      <c r="FS24">
        <v>275.61951264135126</v>
      </c>
      <c r="FT24">
        <v>0.81</v>
      </c>
      <c r="FU24">
        <v>28.3</v>
      </c>
      <c r="FV24">
        <v>1.3</v>
      </c>
      <c r="FW24">
        <v>336.70380810358051</v>
      </c>
      <c r="FX24">
        <v>0.82</v>
      </c>
      <c r="FY24">
        <v>16.918817082371888</v>
      </c>
      <c r="FZ24">
        <v>0.29158665114683968</v>
      </c>
      <c r="GA24">
        <v>321.8029471757057</v>
      </c>
      <c r="GB24">
        <v>10.081104006577865</v>
      </c>
      <c r="GC24">
        <v>3.4436584872015876</v>
      </c>
      <c r="GD24">
        <v>38.513942718505859</v>
      </c>
      <c r="GF24">
        <v>15.685130695307205</v>
      </c>
      <c r="GG24">
        <v>0.23062305377489659</v>
      </c>
      <c r="GH24">
        <v>301.37747011108132</v>
      </c>
      <c r="GI24">
        <v>8.9321141146563399</v>
      </c>
      <c r="GJ24">
        <v>3.7878114504671156</v>
      </c>
      <c r="GK24">
        <v>39.175094604492188</v>
      </c>
      <c r="GM24">
        <v>75</v>
      </c>
      <c r="GN24">
        <v>79</v>
      </c>
      <c r="GO24">
        <v>110</v>
      </c>
      <c r="GP24">
        <v>80</v>
      </c>
      <c r="GQ24">
        <v>84</v>
      </c>
      <c r="GR24">
        <v>118</v>
      </c>
      <c r="GT24">
        <v>108</v>
      </c>
      <c r="GU24">
        <v>18</v>
      </c>
      <c r="GV24">
        <v>12</v>
      </c>
      <c r="GW24">
        <v>47.96</v>
      </c>
      <c r="GX24">
        <v>36.97</v>
      </c>
      <c r="GY24">
        <v>14.99</v>
      </c>
      <c r="GZ24">
        <v>14.25</v>
      </c>
      <c r="HB24">
        <v>103</v>
      </c>
      <c r="HC24">
        <v>7</v>
      </c>
      <c r="HD24">
        <v>5</v>
      </c>
      <c r="HE24">
        <v>42.67</v>
      </c>
      <c r="HF24">
        <v>21.05</v>
      </c>
      <c r="HG24">
        <v>9.1199999999999992</v>
      </c>
      <c r="HH24">
        <v>15.32</v>
      </c>
    </row>
    <row r="25" spans="1:216" x14ac:dyDescent="0.25">
      <c r="A25" t="s">
        <v>206</v>
      </c>
      <c r="B25" s="1" t="s">
        <v>212</v>
      </c>
      <c r="C25" s="3" t="s">
        <v>222</v>
      </c>
      <c r="D25" s="3">
        <v>1</v>
      </c>
      <c r="E25" s="6">
        <v>40.9</v>
      </c>
      <c r="F25" s="6">
        <v>0</v>
      </c>
      <c r="G25" s="6">
        <v>3</v>
      </c>
      <c r="H25" s="6">
        <v>23.1</v>
      </c>
      <c r="I25" s="6">
        <v>0.5</v>
      </c>
      <c r="J25" s="6">
        <v>26.3</v>
      </c>
      <c r="K25" s="6">
        <v>0.3</v>
      </c>
      <c r="L25">
        <v>0.65300000000000002</v>
      </c>
      <c r="M25">
        <v>0.16900000000000001</v>
      </c>
      <c r="N25">
        <v>0.187</v>
      </c>
      <c r="O25">
        <v>7.5999999999999998E-2</v>
      </c>
      <c r="P25">
        <v>9.7740367538977484</v>
      </c>
      <c r="Q25">
        <v>0.21724564447260658</v>
      </c>
      <c r="R25">
        <v>262.04517859952733</v>
      </c>
      <c r="S25">
        <v>4.6122403687442572</v>
      </c>
      <c r="T25">
        <v>2.0935462870947816</v>
      </c>
      <c r="U25">
        <v>29.504169464111328</v>
      </c>
      <c r="V25">
        <v>132.31989999999999</v>
      </c>
      <c r="W25">
        <v>7.0601000000000003</v>
      </c>
      <c r="X25">
        <v>22.18</v>
      </c>
      <c r="Y25">
        <v>0.53359999999999996</v>
      </c>
      <c r="Z25">
        <v>132.31989999999999</v>
      </c>
      <c r="AA25">
        <v>0.29599999999999999</v>
      </c>
      <c r="AB25">
        <v>450</v>
      </c>
      <c r="AC25" s="1" t="s">
        <v>212</v>
      </c>
      <c r="AD25" s="3" t="s">
        <v>223</v>
      </c>
      <c r="AE25" s="3">
        <v>1</v>
      </c>
      <c r="AF25">
        <v>51.8</v>
      </c>
      <c r="AG25">
        <v>5</v>
      </c>
      <c r="AH25">
        <v>15</v>
      </c>
      <c r="AI25">
        <v>34</v>
      </c>
      <c r="AJ25">
        <v>26.9</v>
      </c>
      <c r="AK25">
        <v>0.7</v>
      </c>
      <c r="AL25">
        <v>0.6</v>
      </c>
      <c r="AM25">
        <v>129.80000000000001</v>
      </c>
      <c r="AN25">
        <v>77.8</v>
      </c>
      <c r="AO25">
        <v>0.71</v>
      </c>
      <c r="AP25">
        <v>0.63</v>
      </c>
      <c r="AQ25">
        <v>5.8730000000000002</v>
      </c>
      <c r="AR25">
        <v>1.7529999999999999</v>
      </c>
      <c r="AS25">
        <v>5.351</v>
      </c>
      <c r="AT25">
        <v>1.1220000000000001</v>
      </c>
      <c r="AU25">
        <v>59.5</v>
      </c>
      <c r="AV25">
        <v>16</v>
      </c>
      <c r="AW25">
        <v>47</v>
      </c>
      <c r="AX25">
        <v>40</v>
      </c>
      <c r="AY25">
        <v>26.8</v>
      </c>
      <c r="AZ25">
        <v>0.8</v>
      </c>
      <c r="BA25">
        <v>0.8</v>
      </c>
      <c r="BB25">
        <v>163.69999999999999</v>
      </c>
      <c r="BC25">
        <v>160.6</v>
      </c>
      <c r="BD25">
        <v>0.85</v>
      </c>
      <c r="BE25">
        <v>0.84</v>
      </c>
      <c r="BF25">
        <v>19.042000000000002</v>
      </c>
      <c r="BG25">
        <v>8.9710000000000001</v>
      </c>
      <c r="BH25">
        <v>8.2509999999999994</v>
      </c>
      <c r="BI25">
        <v>2.8759999999999999</v>
      </c>
      <c r="BJ25">
        <v>23.440945367430036</v>
      </c>
      <c r="BK25">
        <v>3.9629140202861263E-2</v>
      </c>
      <c r="BL25">
        <v>233.21539629011494</v>
      </c>
      <c r="BM25">
        <v>10.931898881088623</v>
      </c>
      <c r="BN25">
        <v>24.874820325174483</v>
      </c>
      <c r="BO25">
        <v>66.929597473144526</v>
      </c>
      <c r="BP25">
        <v>7.7900364514949345</v>
      </c>
      <c r="BQ25">
        <v>1.1012518899020728E-2</v>
      </c>
      <c r="BR25">
        <v>206.35867895829679</v>
      </c>
      <c r="BS25">
        <v>3.9257783905971011</v>
      </c>
      <c r="BT25">
        <v>32.491661927968998</v>
      </c>
      <c r="BU25">
        <v>71.808994293212891</v>
      </c>
      <c r="BV25">
        <v>25.45820170950515</v>
      </c>
      <c r="BW25">
        <v>4.6974431508443083E-2</v>
      </c>
      <c r="BX25">
        <v>243.92909041284139</v>
      </c>
      <c r="BY25">
        <v>12.326197748549703</v>
      </c>
      <c r="BZ25">
        <v>22.88235810021234</v>
      </c>
      <c r="CA25">
        <v>65.88186340332031</v>
      </c>
      <c r="CB25">
        <v>23.150563979869666</v>
      </c>
      <c r="CC25">
        <v>4.8611379410546954E-2</v>
      </c>
      <c r="CD25">
        <v>237.59397676261437</v>
      </c>
      <c r="CE25">
        <v>13.875416322893713</v>
      </c>
      <c r="CF25">
        <v>24.072741182818039</v>
      </c>
      <c r="CG25">
        <v>67.156196594238281</v>
      </c>
      <c r="CH25">
        <v>442.38569999999999</v>
      </c>
      <c r="CI25">
        <v>92.573499999999996</v>
      </c>
      <c r="CJ25">
        <v>290.82830000000001</v>
      </c>
      <c r="CK25">
        <v>2.0926</v>
      </c>
      <c r="CL25">
        <v>442.38569999999999</v>
      </c>
      <c r="CM25">
        <v>15.215</v>
      </c>
      <c r="CN25">
        <v>2269</v>
      </c>
      <c r="CO25">
        <v>397.46406666666667</v>
      </c>
      <c r="CP25">
        <v>58.4863</v>
      </c>
      <c r="CQ25">
        <v>183.74003333333334</v>
      </c>
      <c r="CR25">
        <v>1.5793333333333333</v>
      </c>
      <c r="CS25">
        <v>397.46406666666667</v>
      </c>
      <c r="CT25">
        <v>7.5776666666666666</v>
      </c>
      <c r="CU25">
        <v>1520.3333333333333</v>
      </c>
      <c r="CW25">
        <v>76.3</v>
      </c>
      <c r="CX25">
        <v>8</v>
      </c>
      <c r="CY25">
        <v>29</v>
      </c>
      <c r="CZ25">
        <v>23</v>
      </c>
      <c r="DA25">
        <v>24.2</v>
      </c>
      <c r="DB25">
        <v>0.6</v>
      </c>
      <c r="DC25">
        <v>0.9</v>
      </c>
      <c r="DD25">
        <v>263.80784043568468</v>
      </c>
      <c r="DE25">
        <v>195.68284511550763</v>
      </c>
      <c r="DF25">
        <v>0.74</v>
      </c>
      <c r="DG25">
        <v>0.63</v>
      </c>
      <c r="DH25">
        <v>21.571999999999999</v>
      </c>
      <c r="DI25">
        <v>15.670999999999999</v>
      </c>
      <c r="DJ25">
        <v>6.8920000000000003</v>
      </c>
      <c r="DK25">
        <v>4.915</v>
      </c>
      <c r="DL25">
        <v>119.3</v>
      </c>
      <c r="DM25">
        <v>23</v>
      </c>
      <c r="DN25">
        <v>85</v>
      </c>
      <c r="DO25">
        <v>24.8</v>
      </c>
      <c r="DP25">
        <v>31.5</v>
      </c>
      <c r="DQ25">
        <v>0.9</v>
      </c>
      <c r="DR25">
        <v>0.9</v>
      </c>
      <c r="DS25">
        <v>457.09714679725448</v>
      </c>
      <c r="DT25">
        <v>349.00087837415651</v>
      </c>
      <c r="DU25">
        <v>0.85</v>
      </c>
      <c r="DV25">
        <v>0.84</v>
      </c>
      <c r="DW25">
        <v>36.750999999999998</v>
      </c>
      <c r="DX25">
        <v>15.132</v>
      </c>
      <c r="DY25">
        <v>11.257</v>
      </c>
      <c r="DZ25">
        <v>4.3250000000000002</v>
      </c>
      <c r="EB25">
        <v>25.45820170950515</v>
      </c>
      <c r="EC25">
        <v>4.6974431508443083E-2</v>
      </c>
      <c r="ED25">
        <v>243.92909041284139</v>
      </c>
      <c r="EE25">
        <v>12.326197748549703</v>
      </c>
      <c r="EF25">
        <v>22.88235810021234</v>
      </c>
      <c r="EG25">
        <v>65.88186340332031</v>
      </c>
      <c r="EH25">
        <v>18.354425654203226</v>
      </c>
      <c r="EI25">
        <v>3.4038513005647322E-2</v>
      </c>
      <c r="EJ25">
        <v>242.14921868184956</v>
      </c>
      <c r="EK25">
        <v>9.3802622152248141</v>
      </c>
      <c r="EL25">
        <v>24.254312566113832</v>
      </c>
      <c r="EM25">
        <v>66.859875488281247</v>
      </c>
      <c r="EO25">
        <v>20.411713543588277</v>
      </c>
      <c r="EP25">
        <v>0.26846792269977715</v>
      </c>
      <c r="EQ25">
        <v>390.30068009198476</v>
      </c>
      <c r="ER25">
        <v>9.6316649766123064</v>
      </c>
      <c r="ES25">
        <v>3.544356413327971</v>
      </c>
      <c r="ET25">
        <v>38.199855804443359</v>
      </c>
      <c r="EU25">
        <v>13.473438121669869</v>
      </c>
      <c r="EV25">
        <v>0.12694595238191328</v>
      </c>
      <c r="EW25">
        <v>391.80905820137201</v>
      </c>
      <c r="EX25">
        <v>5.7353718536185401</v>
      </c>
      <c r="EY25">
        <v>4.3170901389458631</v>
      </c>
      <c r="EZ25">
        <v>39.882961273193359</v>
      </c>
      <c r="FB25">
        <v>397.72840000000002</v>
      </c>
      <c r="FC25">
        <v>219.2518</v>
      </c>
      <c r="FD25">
        <v>688.79989999999998</v>
      </c>
      <c r="FE25">
        <v>5.5125999999999999</v>
      </c>
      <c r="FF25">
        <v>397.72840000000002</v>
      </c>
      <c r="FG25">
        <v>94.927000000000007</v>
      </c>
      <c r="FH25">
        <v>3578</v>
      </c>
      <c r="FI25">
        <v>1072.1214</v>
      </c>
      <c r="FJ25">
        <v>120.5545</v>
      </c>
      <c r="FK25">
        <v>378.733</v>
      </c>
      <c r="FL25">
        <v>1.1244000000000001</v>
      </c>
      <c r="FM25">
        <v>1072.1214</v>
      </c>
      <c r="FN25">
        <v>10.647</v>
      </c>
      <c r="FO25">
        <v>3513</v>
      </c>
      <c r="FQ25">
        <v>15.5</v>
      </c>
      <c r="FR25">
        <v>0.9</v>
      </c>
      <c r="FS25">
        <v>332.04652386333538</v>
      </c>
      <c r="FT25">
        <v>0.8</v>
      </c>
      <c r="FU25">
        <v>22.6</v>
      </c>
      <c r="FV25">
        <v>1.1000000000000001</v>
      </c>
      <c r="FW25">
        <v>365.63375122899635</v>
      </c>
      <c r="FX25">
        <v>0.81</v>
      </c>
      <c r="FY25">
        <v>29.418611801954832</v>
      </c>
      <c r="FZ25">
        <v>0.56549488343230414</v>
      </c>
      <c r="GA25">
        <v>320.05372219932121</v>
      </c>
      <c r="GB25">
        <v>15.459025411576992</v>
      </c>
      <c r="GC25">
        <v>2.8979098114533755</v>
      </c>
      <c r="GD25">
        <v>38.099391937255859</v>
      </c>
      <c r="GF25">
        <v>22.347736995334774</v>
      </c>
      <c r="GG25">
        <v>0.29249468378897114</v>
      </c>
      <c r="GH25">
        <v>289.37290022972689</v>
      </c>
      <c r="GI25">
        <v>10.34155208329161</v>
      </c>
      <c r="GJ25">
        <v>3.4992600870487274</v>
      </c>
      <c r="GK25">
        <v>38.232814788818359</v>
      </c>
      <c r="GM25">
        <v>73</v>
      </c>
      <c r="GN25">
        <v>78</v>
      </c>
      <c r="GO25">
        <v>107</v>
      </c>
      <c r="GP25">
        <v>76</v>
      </c>
      <c r="GQ25">
        <v>80</v>
      </c>
      <c r="GR25">
        <v>116</v>
      </c>
      <c r="GT25">
        <v>106</v>
      </c>
      <c r="GU25">
        <v>20</v>
      </c>
      <c r="GV25">
        <v>18</v>
      </c>
      <c r="GW25">
        <v>47.85</v>
      </c>
      <c r="GX25">
        <v>39.869999999999997</v>
      </c>
      <c r="GY25">
        <v>21.35</v>
      </c>
      <c r="GZ25">
        <v>23.57</v>
      </c>
      <c r="HB25">
        <v>82</v>
      </c>
      <c r="HC25">
        <v>9</v>
      </c>
      <c r="HD25">
        <v>8</v>
      </c>
      <c r="HE25">
        <v>42.65</v>
      </c>
      <c r="HF25">
        <v>27.53</v>
      </c>
      <c r="HG25">
        <v>12.67</v>
      </c>
      <c r="HH25">
        <v>17.5</v>
      </c>
    </row>
    <row r="26" spans="1:216" x14ac:dyDescent="0.25">
      <c r="B26" s="1" t="s">
        <v>212</v>
      </c>
      <c r="C26" s="3" t="s">
        <v>222</v>
      </c>
      <c r="D26" s="3">
        <v>2</v>
      </c>
      <c r="E26" s="6">
        <v>36.700000000000003</v>
      </c>
      <c r="F26" s="6">
        <v>0</v>
      </c>
      <c r="G26" s="6">
        <v>3</v>
      </c>
      <c r="H26" s="6">
        <v>14.1</v>
      </c>
      <c r="I26" s="6">
        <v>0.5</v>
      </c>
      <c r="J26" s="6">
        <v>26.5</v>
      </c>
      <c r="K26" s="6">
        <v>0.5</v>
      </c>
      <c r="L26">
        <v>0.3523</v>
      </c>
      <c r="M26">
        <v>0.156</v>
      </c>
      <c r="N26">
        <v>0.17799999999999999</v>
      </c>
      <c r="O26">
        <v>7.0999999999999994E-2</v>
      </c>
      <c r="P26">
        <v>9.7583760562220654</v>
      </c>
      <c r="Q26">
        <v>0.21958555680354705</v>
      </c>
      <c r="R26">
        <v>262.96276847849612</v>
      </c>
      <c r="S26">
        <v>4.6538826105486857</v>
      </c>
      <c r="T26">
        <v>2.0909182730742986</v>
      </c>
      <c r="U26">
        <v>29.497529983520508</v>
      </c>
      <c r="V26">
        <v>219.10400000000001</v>
      </c>
      <c r="W26">
        <v>15.611499999999999</v>
      </c>
      <c r="X26">
        <v>49.044899999999998</v>
      </c>
      <c r="Y26">
        <v>0.71250000000000002</v>
      </c>
      <c r="Z26">
        <v>219.10400000000001</v>
      </c>
      <c r="AA26">
        <v>0.874</v>
      </c>
      <c r="AB26">
        <v>679</v>
      </c>
      <c r="AD26" s="3" t="s">
        <v>223</v>
      </c>
      <c r="AE26" s="3">
        <v>2</v>
      </c>
      <c r="AF26">
        <v>62</v>
      </c>
      <c r="AG26">
        <v>7</v>
      </c>
      <c r="AH26">
        <v>20</v>
      </c>
      <c r="AI26">
        <v>41.6</v>
      </c>
      <c r="AJ26">
        <v>30.6</v>
      </c>
      <c r="AK26">
        <v>0.9</v>
      </c>
      <c r="AL26">
        <v>0.5</v>
      </c>
      <c r="AM26">
        <v>151.69999999999999</v>
      </c>
      <c r="AN26">
        <v>77.900000000000006</v>
      </c>
      <c r="AO26">
        <v>0.68</v>
      </c>
      <c r="AP26">
        <v>0.61</v>
      </c>
      <c r="AQ26">
        <v>5.6420000000000003</v>
      </c>
      <c r="AR26">
        <v>1.8759999999999999</v>
      </c>
      <c r="AS26">
        <v>5.8609999999999998</v>
      </c>
      <c r="AT26">
        <v>1.175</v>
      </c>
      <c r="AU26">
        <v>58.5</v>
      </c>
      <c r="AV26">
        <v>14</v>
      </c>
      <c r="AW26">
        <v>34</v>
      </c>
      <c r="AX26">
        <v>38.4</v>
      </c>
      <c r="AY26">
        <v>27.4</v>
      </c>
      <c r="AZ26">
        <v>0.8</v>
      </c>
      <c r="BA26">
        <v>0.6</v>
      </c>
      <c r="BB26">
        <v>153.80000000000001</v>
      </c>
      <c r="BC26">
        <v>149.30000000000001</v>
      </c>
      <c r="BD26">
        <v>0.84</v>
      </c>
      <c r="BE26">
        <v>0.83</v>
      </c>
      <c r="BF26">
        <v>17.821000000000002</v>
      </c>
      <c r="BG26">
        <v>8.5129999999999999</v>
      </c>
      <c r="BH26">
        <v>8.9749999999999996</v>
      </c>
      <c r="BI26">
        <v>2.2530000000000001</v>
      </c>
      <c r="BJ26">
        <v>29.276513516363554</v>
      </c>
      <c r="BK26">
        <v>4.112742334980235E-2</v>
      </c>
      <c r="BL26">
        <v>177.52892118690201</v>
      </c>
      <c r="BM26">
        <v>15.385874767912208</v>
      </c>
      <c r="BN26">
        <v>34.723306475925618</v>
      </c>
      <c r="BO26">
        <v>73.502609252929688</v>
      </c>
      <c r="BP26">
        <v>1.8063169256755927</v>
      </c>
      <c r="BQ26">
        <v>6.2404390425415401E-3</v>
      </c>
      <c r="BR26">
        <v>272.22926750314525</v>
      </c>
      <c r="BS26">
        <v>1.61480410875532</v>
      </c>
      <c r="BT26">
        <v>21.795647201689331</v>
      </c>
      <c r="BU26">
        <v>64.58658142089844</v>
      </c>
      <c r="BV26">
        <v>21.238346299578872</v>
      </c>
      <c r="BW26">
        <v>3.5022636218023803E-2</v>
      </c>
      <c r="BX26">
        <v>223.40261229776343</v>
      </c>
      <c r="BY26">
        <v>11.431096960566354</v>
      </c>
      <c r="BZ26">
        <v>27.238533623808991</v>
      </c>
      <c r="CA26">
        <v>69.34197998046875</v>
      </c>
      <c r="CB26">
        <v>17.789367520690757</v>
      </c>
      <c r="CC26">
        <v>4.7809320503984523E-2</v>
      </c>
      <c r="CD26">
        <v>255.49147408844914</v>
      </c>
      <c r="CE26">
        <v>12.398004343751031</v>
      </c>
      <c r="CF26">
        <v>22.091199384148062</v>
      </c>
      <c r="CG26">
        <v>65.397570800781253</v>
      </c>
      <c r="CH26">
        <v>261.52969999999999</v>
      </c>
      <c r="CI26">
        <v>26.284700000000001</v>
      </c>
      <c r="CJ26">
        <v>82.575900000000004</v>
      </c>
      <c r="CK26">
        <v>1.0049999999999999</v>
      </c>
      <c r="CL26">
        <v>261.52969999999999</v>
      </c>
      <c r="CM26">
        <v>2.0750000000000002</v>
      </c>
      <c r="CN26">
        <v>1179</v>
      </c>
      <c r="CO26">
        <v>259.51573333333334</v>
      </c>
      <c r="CP26">
        <v>54.898400000000002</v>
      </c>
      <c r="CQ26">
        <v>172.46836666666664</v>
      </c>
      <c r="CR26">
        <v>2.1308333333333334</v>
      </c>
      <c r="CS26">
        <v>259.51573333333334</v>
      </c>
      <c r="CT26">
        <v>10.561999999999999</v>
      </c>
      <c r="CU26">
        <v>685.66666666666663</v>
      </c>
      <c r="CW26">
        <v>77</v>
      </c>
      <c r="CX26">
        <v>9</v>
      </c>
      <c r="CY26">
        <v>32</v>
      </c>
      <c r="CZ26">
        <v>24</v>
      </c>
      <c r="DA26">
        <v>29.6</v>
      </c>
      <c r="DB26">
        <v>0.7</v>
      </c>
      <c r="DC26">
        <v>0.9</v>
      </c>
      <c r="DD26">
        <v>272.26472672178915</v>
      </c>
      <c r="DE26">
        <v>191.87214062528818</v>
      </c>
      <c r="DF26">
        <v>0.75</v>
      </c>
      <c r="DG26">
        <v>0.61</v>
      </c>
      <c r="DH26">
        <v>22.876000000000001</v>
      </c>
      <c r="DI26">
        <v>17.513000000000002</v>
      </c>
      <c r="DJ26">
        <v>8.2149999999999999</v>
      </c>
      <c r="DK26">
        <v>4.8520000000000003</v>
      </c>
      <c r="DL26">
        <v>125.7</v>
      </c>
      <c r="DM26">
        <v>19</v>
      </c>
      <c r="DN26">
        <v>57</v>
      </c>
      <c r="DO26">
        <v>26.4</v>
      </c>
      <c r="DP26">
        <v>36.200000000000003</v>
      </c>
      <c r="DQ26">
        <v>0.9</v>
      </c>
      <c r="DR26">
        <v>0.9</v>
      </c>
      <c r="DS26">
        <v>434.98457630738</v>
      </c>
      <c r="DT26">
        <v>355.0850737644667</v>
      </c>
      <c r="DU26">
        <v>0.84</v>
      </c>
      <c r="DV26">
        <v>0.83</v>
      </c>
      <c r="DW26">
        <v>39.972999999999999</v>
      </c>
      <c r="DX26">
        <v>17.896000000000001</v>
      </c>
      <c r="DY26">
        <v>10.153</v>
      </c>
      <c r="DZ26">
        <v>5.3209999999999997</v>
      </c>
      <c r="EB26">
        <v>25.45820170950515</v>
      </c>
      <c r="EC26">
        <v>4.6974431508443083E-2</v>
      </c>
      <c r="ED26">
        <v>243.92909041284139</v>
      </c>
      <c r="EE26">
        <v>12.326197748549703</v>
      </c>
      <c r="EF26">
        <v>22.88235810021234</v>
      </c>
      <c r="EG26">
        <v>65.88186340332031</v>
      </c>
      <c r="EH26">
        <v>23.150563979869666</v>
      </c>
      <c r="EI26">
        <v>4.8611379410546954E-2</v>
      </c>
      <c r="EJ26">
        <v>237.59397676261437</v>
      </c>
      <c r="EK26">
        <v>13.875416322893713</v>
      </c>
      <c r="EL26">
        <v>24.072741182818039</v>
      </c>
      <c r="EM26">
        <v>67.156196594238281</v>
      </c>
      <c r="EO26">
        <v>23.089367521641414</v>
      </c>
      <c r="EP26">
        <v>0.27301127529099933</v>
      </c>
      <c r="EQ26">
        <v>382.86457503865694</v>
      </c>
      <c r="ER26">
        <v>10.552413855215919</v>
      </c>
      <c r="ES26">
        <v>3.8097730383877444</v>
      </c>
      <c r="ET26">
        <v>38.960521697998047</v>
      </c>
      <c r="EU26">
        <v>13.952597957665105</v>
      </c>
      <c r="EV26">
        <v>0.12752545195328452</v>
      </c>
      <c r="EW26">
        <v>391.58940170403042</v>
      </c>
      <c r="EX26">
        <v>5.6664965877193936</v>
      </c>
      <c r="EY26">
        <v>4.2477191055876728</v>
      </c>
      <c r="EZ26">
        <v>39.714759826660156</v>
      </c>
      <c r="FB26">
        <v>98.237200000000001</v>
      </c>
      <c r="FC26">
        <v>213.24180000000001</v>
      </c>
      <c r="FD26">
        <v>669.91880000000003</v>
      </c>
      <c r="FE26">
        <v>21.706800000000001</v>
      </c>
      <c r="FF26">
        <v>98.237200000000001</v>
      </c>
      <c r="FG26">
        <v>363.54500000000002</v>
      </c>
      <c r="FH26">
        <v>2069</v>
      </c>
      <c r="FI26">
        <v>1056.6403</v>
      </c>
      <c r="FJ26">
        <v>162.12979999999999</v>
      </c>
      <c r="FK26">
        <v>509.34570000000002</v>
      </c>
      <c r="FL26">
        <v>1.5344</v>
      </c>
      <c r="FM26">
        <v>1056.6403</v>
      </c>
      <c r="FN26">
        <v>19.538</v>
      </c>
      <c r="FO26">
        <v>3920</v>
      </c>
      <c r="FQ26">
        <v>14.5</v>
      </c>
      <c r="FR26">
        <v>0.9</v>
      </c>
      <c r="FS26">
        <v>319.49873676983293</v>
      </c>
      <c r="FT26">
        <v>0.81</v>
      </c>
      <c r="FU26">
        <v>22</v>
      </c>
      <c r="FV26">
        <v>1.1000000000000001</v>
      </c>
      <c r="FW26">
        <v>362.63239169499872</v>
      </c>
      <c r="FX26">
        <v>0.81</v>
      </c>
      <c r="FY26">
        <v>29.341185832412805</v>
      </c>
      <c r="FZ26">
        <v>0.56423179204871576</v>
      </c>
      <c r="GA26">
        <v>320.11552903659606</v>
      </c>
      <c r="GB26">
        <v>15.441738175405773</v>
      </c>
      <c r="GC26">
        <v>2.9003465799142409</v>
      </c>
      <c r="GD26">
        <v>38.103275299072266</v>
      </c>
      <c r="GF26">
        <v>22.497057503479102</v>
      </c>
      <c r="GG26">
        <v>0.29205627469597195</v>
      </c>
      <c r="GH26">
        <v>288.33518287726628</v>
      </c>
      <c r="GI26">
        <v>10.329700235589858</v>
      </c>
      <c r="GJ26">
        <v>3.5001798719870889</v>
      </c>
      <c r="GK26">
        <v>38.234264373779297</v>
      </c>
      <c r="GM26">
        <v>73</v>
      </c>
      <c r="GN26">
        <v>78</v>
      </c>
      <c r="GO26">
        <v>107</v>
      </c>
      <c r="GP26">
        <v>76</v>
      </c>
      <c r="GQ26">
        <v>80</v>
      </c>
      <c r="GR26">
        <v>116</v>
      </c>
      <c r="GT26">
        <v>104</v>
      </c>
      <c r="GU26">
        <v>24</v>
      </c>
      <c r="GV26">
        <v>13</v>
      </c>
      <c r="GW26">
        <v>45.11</v>
      </c>
      <c r="GX26">
        <v>38.11</v>
      </c>
      <c r="GY26">
        <v>20.99</v>
      </c>
      <c r="GZ26">
        <v>22.69</v>
      </c>
      <c r="HB26">
        <v>89</v>
      </c>
      <c r="HC26">
        <v>9</v>
      </c>
      <c r="HD26">
        <v>9</v>
      </c>
      <c r="HE26">
        <v>42.17</v>
      </c>
      <c r="HF26">
        <v>28.98</v>
      </c>
      <c r="HG26">
        <v>13.09</v>
      </c>
      <c r="HH26">
        <v>18.100000000000001</v>
      </c>
    </row>
    <row r="27" spans="1:216" x14ac:dyDescent="0.25">
      <c r="B27" s="1" t="s">
        <v>212</v>
      </c>
      <c r="C27" s="3" t="s">
        <v>222</v>
      </c>
      <c r="D27" s="3">
        <v>3</v>
      </c>
      <c r="E27" s="6">
        <v>51.5</v>
      </c>
      <c r="F27" s="6">
        <v>0</v>
      </c>
      <c r="G27" s="6">
        <v>3</v>
      </c>
      <c r="H27" s="6">
        <v>34.5</v>
      </c>
      <c r="I27" s="6">
        <v>0.5</v>
      </c>
      <c r="J27" s="6">
        <v>31.2</v>
      </c>
      <c r="K27" s="6">
        <v>0.6</v>
      </c>
      <c r="L27">
        <v>1.0569999999999999</v>
      </c>
      <c r="M27">
        <v>0.125</v>
      </c>
      <c r="N27">
        <v>0.191</v>
      </c>
      <c r="O27">
        <v>6.4000000000000001E-2</v>
      </c>
      <c r="P27">
        <v>10.333547188773004</v>
      </c>
      <c r="Q27">
        <v>0.22295329491244237</v>
      </c>
      <c r="R27">
        <v>259.78476972547509</v>
      </c>
      <c r="S27">
        <v>4.7053181761515361</v>
      </c>
      <c r="T27">
        <v>2.0835159687394693</v>
      </c>
      <c r="U27">
        <v>29.475156784057617</v>
      </c>
      <c r="V27">
        <v>72.587999999999994</v>
      </c>
      <c r="W27">
        <v>6.6654999999999998</v>
      </c>
      <c r="X27">
        <v>20.940200000000001</v>
      </c>
      <c r="Y27">
        <v>0.91830000000000001</v>
      </c>
      <c r="Z27">
        <v>72.587999999999994</v>
      </c>
      <c r="AA27">
        <v>0.48099999999999998</v>
      </c>
      <c r="AB27">
        <v>249</v>
      </c>
      <c r="AD27" s="3" t="s">
        <v>223</v>
      </c>
      <c r="AE27" s="3">
        <v>3</v>
      </c>
      <c r="AF27">
        <v>61</v>
      </c>
      <c r="AG27">
        <v>5</v>
      </c>
      <c r="AH27">
        <v>12</v>
      </c>
      <c r="AI27">
        <v>39.700000000000003</v>
      </c>
      <c r="AJ27">
        <v>31.5</v>
      </c>
      <c r="AK27">
        <v>0.6</v>
      </c>
      <c r="AL27">
        <v>0.6</v>
      </c>
      <c r="AM27">
        <v>121.8</v>
      </c>
      <c r="AN27">
        <v>56.5</v>
      </c>
      <c r="AO27">
        <v>0.65</v>
      </c>
      <c r="AP27">
        <v>0.59</v>
      </c>
      <c r="AQ27">
        <v>6.6310000000000002</v>
      </c>
      <c r="AR27">
        <v>1.5629999999999999</v>
      </c>
      <c r="AS27">
        <v>5.5640000000000001</v>
      </c>
      <c r="AT27">
        <v>1.099</v>
      </c>
      <c r="AU27">
        <v>61.6</v>
      </c>
      <c r="AV27">
        <v>15</v>
      </c>
      <c r="AW27">
        <v>46</v>
      </c>
      <c r="AX27">
        <v>53</v>
      </c>
      <c r="AY27">
        <v>32.5</v>
      </c>
      <c r="AZ27">
        <v>0.8</v>
      </c>
      <c r="BA27">
        <v>0.6</v>
      </c>
      <c r="BB27">
        <v>141.80000000000001</v>
      </c>
      <c r="BC27">
        <v>150.80000000000001</v>
      </c>
      <c r="BD27">
        <v>0.83</v>
      </c>
      <c r="BE27">
        <v>0.84</v>
      </c>
      <c r="BF27">
        <v>22.39</v>
      </c>
      <c r="BG27">
        <v>10.912000000000001</v>
      </c>
      <c r="BH27">
        <v>8.0210000000000008</v>
      </c>
      <c r="BI27">
        <v>2.1190000000000002</v>
      </c>
      <c r="BJ27">
        <v>14.768691187888731</v>
      </c>
      <c r="BK27">
        <v>1.1437075065762709E-2</v>
      </c>
      <c r="BL27">
        <v>152.08511982653752</v>
      </c>
      <c r="BM27">
        <v>5.7880631319841056</v>
      </c>
      <c r="BN27">
        <v>41.336218027301797</v>
      </c>
      <c r="BO27">
        <v>77.547480773925784</v>
      </c>
      <c r="BP27">
        <v>7.8127455217716388</v>
      </c>
      <c r="BQ27">
        <v>1.394329373551852E-2</v>
      </c>
      <c r="BR27">
        <v>253.73841233136113</v>
      </c>
      <c r="BS27">
        <v>3.9432722191151015</v>
      </c>
      <c r="BT27">
        <v>23.8301869584418</v>
      </c>
      <c r="BU27">
        <v>66.361218261718747</v>
      </c>
      <c r="BV27">
        <v>24.054839491954102</v>
      </c>
      <c r="BW27">
        <v>3.1210631074282812E-2</v>
      </c>
      <c r="BX27">
        <v>187.80967930512921</v>
      </c>
      <c r="BY27">
        <v>13.141776495864715</v>
      </c>
      <c r="BZ27">
        <v>33.181366574482375</v>
      </c>
      <c r="CA27">
        <v>73.612103271484372</v>
      </c>
      <c r="CB27">
        <v>18.534010192335714</v>
      </c>
      <c r="CC27">
        <v>2.5940054044265443E-2</v>
      </c>
      <c r="CD27">
        <v>187.85890521305993</v>
      </c>
      <c r="CE27">
        <v>11.141577446099793</v>
      </c>
      <c r="CF27">
        <v>34.099379883814514</v>
      </c>
      <c r="CG27">
        <v>74.033731079101557</v>
      </c>
      <c r="CH27">
        <v>277.45600000000002</v>
      </c>
      <c r="CI27">
        <v>39.357999999999997</v>
      </c>
      <c r="CJ27">
        <v>123.6467</v>
      </c>
      <c r="CK27">
        <v>1.4185000000000001</v>
      </c>
      <c r="CL27">
        <v>277.45600000000002</v>
      </c>
      <c r="CM27">
        <v>4.3849999999999998</v>
      </c>
      <c r="CN27">
        <v>959</v>
      </c>
      <c r="CW27">
        <v>71</v>
      </c>
      <c r="CX27">
        <v>10</v>
      </c>
      <c r="CY27">
        <v>34</v>
      </c>
      <c r="CZ27">
        <v>28.3</v>
      </c>
      <c r="DA27">
        <v>29.3</v>
      </c>
      <c r="DB27">
        <v>0.7</v>
      </c>
      <c r="DC27">
        <v>0.9</v>
      </c>
      <c r="DD27">
        <v>270.58141863344827</v>
      </c>
      <c r="DE27">
        <v>193.78080659882932</v>
      </c>
      <c r="DF27">
        <v>0.76</v>
      </c>
      <c r="DG27">
        <v>0.64</v>
      </c>
      <c r="DH27">
        <v>23.651</v>
      </c>
      <c r="DI27">
        <v>16.422999999999998</v>
      </c>
      <c r="DJ27">
        <v>9.1460000000000008</v>
      </c>
      <c r="DK27">
        <v>7.6520000000000001</v>
      </c>
      <c r="DL27">
        <v>116.5</v>
      </c>
      <c r="DM27">
        <v>21</v>
      </c>
      <c r="DN27">
        <v>60</v>
      </c>
      <c r="DO27">
        <v>29.4</v>
      </c>
      <c r="DP27">
        <v>33</v>
      </c>
      <c r="DQ27">
        <v>0.9</v>
      </c>
      <c r="DR27">
        <v>0.9</v>
      </c>
      <c r="DS27">
        <v>429.38441661008994</v>
      </c>
      <c r="DT27">
        <v>365.63375122899635</v>
      </c>
      <c r="DU27">
        <v>0.83</v>
      </c>
      <c r="DV27">
        <v>0.84</v>
      </c>
      <c r="DW27">
        <v>36.521000000000001</v>
      </c>
      <c r="DX27">
        <v>15.641999999999999</v>
      </c>
      <c r="DY27">
        <v>9.875</v>
      </c>
      <c r="DZ27">
        <v>4.125</v>
      </c>
      <c r="EB27">
        <v>21.238346299578872</v>
      </c>
      <c r="EC27">
        <v>3.5022636218023803E-2</v>
      </c>
      <c r="ED27">
        <v>223.40261229776343</v>
      </c>
      <c r="EE27">
        <v>11.431096960566354</v>
      </c>
      <c r="EF27">
        <v>27.238533623808991</v>
      </c>
      <c r="EG27">
        <v>69.34197998046875</v>
      </c>
      <c r="EH27">
        <v>17.789367520690757</v>
      </c>
      <c r="EI27">
        <v>4.7809320503984523E-2</v>
      </c>
      <c r="EJ27">
        <v>255.49147408844914</v>
      </c>
      <c r="EK27">
        <v>12.398004343751031</v>
      </c>
      <c r="EL27">
        <v>22.091199384148062</v>
      </c>
      <c r="EM27">
        <v>65.397570800781253</v>
      </c>
      <c r="EO27">
        <v>24.888487053111906</v>
      </c>
      <c r="EP27">
        <v>0.34515102209678894</v>
      </c>
      <c r="EQ27">
        <v>379.88872341359632</v>
      </c>
      <c r="ER27">
        <v>12.383641490778389</v>
      </c>
      <c r="ES27">
        <v>3.5951064105738104</v>
      </c>
      <c r="ET27">
        <v>38.792789459228516</v>
      </c>
      <c r="EU27">
        <v>13.952597957665105</v>
      </c>
      <c r="EV27">
        <v>0.12752545195328452</v>
      </c>
      <c r="EW27">
        <v>391.58940170403042</v>
      </c>
      <c r="EX27">
        <v>5.6664965877193936</v>
      </c>
      <c r="EY27">
        <v>4.2477191055876728</v>
      </c>
      <c r="EZ27">
        <v>39.714759826660156</v>
      </c>
      <c r="FB27">
        <v>589.08069999999998</v>
      </c>
      <c r="FC27">
        <v>197.80260000000001</v>
      </c>
      <c r="FD27">
        <v>621.4153</v>
      </c>
      <c r="FE27">
        <v>3.3578000000000001</v>
      </c>
      <c r="FF27">
        <v>589.08069999999998</v>
      </c>
      <c r="FG27">
        <v>52.164999999999999</v>
      </c>
      <c r="FH27">
        <v>3197</v>
      </c>
      <c r="FI27">
        <v>1210.7302999999999</v>
      </c>
      <c r="FJ27">
        <v>143.346</v>
      </c>
      <c r="FK27">
        <v>450.3347</v>
      </c>
      <c r="FL27">
        <v>1.1839999999999999</v>
      </c>
      <c r="FM27">
        <v>1210.7302999999999</v>
      </c>
      <c r="FN27">
        <v>13.329000000000001</v>
      </c>
      <c r="FO27">
        <v>3985</v>
      </c>
      <c r="FQ27">
        <v>16.5</v>
      </c>
      <c r="FR27">
        <v>0.9</v>
      </c>
      <c r="FS27">
        <v>325.79639190036755</v>
      </c>
      <c r="FT27">
        <v>0.81</v>
      </c>
      <c r="FU27">
        <v>20.9</v>
      </c>
      <c r="FV27">
        <v>1.1000000000000001</v>
      </c>
      <c r="FW27">
        <v>370.11739176845447</v>
      </c>
      <c r="FX27">
        <v>0.82</v>
      </c>
      <c r="FY27">
        <v>29.283025940324549</v>
      </c>
      <c r="FZ27">
        <v>0.56344990304801412</v>
      </c>
      <c r="GA27">
        <v>320.18405229326589</v>
      </c>
      <c r="GB27">
        <v>15.433011057587413</v>
      </c>
      <c r="GC27">
        <v>2.9022205419878393</v>
      </c>
      <c r="GD27">
        <v>38.106857299804688</v>
      </c>
      <c r="GF27">
        <v>22.508868983049119</v>
      </c>
      <c r="GG27">
        <v>0.29172777783560033</v>
      </c>
      <c r="GH27">
        <v>288.14771427945385</v>
      </c>
      <c r="GI27">
        <v>10.318268267848341</v>
      </c>
      <c r="GJ27">
        <v>3.5000220892570919</v>
      </c>
      <c r="GK27">
        <v>38.232734680175781</v>
      </c>
      <c r="GM27">
        <v>73</v>
      </c>
      <c r="GN27">
        <v>78</v>
      </c>
      <c r="GO27">
        <v>107</v>
      </c>
      <c r="GP27">
        <v>76</v>
      </c>
      <c r="GQ27">
        <v>80</v>
      </c>
      <c r="GR27">
        <v>116</v>
      </c>
      <c r="GT27">
        <v>102</v>
      </c>
      <c r="GU27">
        <v>24</v>
      </c>
      <c r="GV27">
        <v>12</v>
      </c>
      <c r="GW27">
        <v>44.12</v>
      </c>
      <c r="GX27">
        <v>39.090000000000003</v>
      </c>
      <c r="GY27">
        <v>20.95</v>
      </c>
      <c r="GZ27">
        <v>22.65</v>
      </c>
      <c r="HB27">
        <v>101</v>
      </c>
      <c r="HC27">
        <v>11</v>
      </c>
      <c r="HD27">
        <v>9</v>
      </c>
      <c r="HE27">
        <v>44.85</v>
      </c>
      <c r="HF27">
        <v>29.1</v>
      </c>
      <c r="HG27">
        <v>13.11</v>
      </c>
      <c r="HH27">
        <v>18.149999999999999</v>
      </c>
    </row>
    <row r="28" spans="1:216" x14ac:dyDescent="0.25">
      <c r="A28" t="s">
        <v>210</v>
      </c>
      <c r="B28" s="1" t="s">
        <v>213</v>
      </c>
      <c r="C28" s="3" t="s">
        <v>222</v>
      </c>
      <c r="D28" s="3">
        <v>1</v>
      </c>
      <c r="E28" s="6">
        <v>37</v>
      </c>
      <c r="F28" s="6">
        <v>0</v>
      </c>
      <c r="G28" s="6">
        <v>3</v>
      </c>
      <c r="H28" s="6">
        <v>26.2</v>
      </c>
      <c r="I28" s="6">
        <v>0.3</v>
      </c>
      <c r="J28" s="6">
        <v>12.9</v>
      </c>
      <c r="K28" s="6">
        <v>0.2</v>
      </c>
      <c r="L28">
        <v>0.26200000000000001</v>
      </c>
      <c r="M28">
        <v>0.14899999999999999</v>
      </c>
      <c r="N28">
        <v>0.10199999999999999</v>
      </c>
      <c r="O28">
        <v>5.2999999999999999E-2</v>
      </c>
      <c r="P28">
        <v>10.925848353500216</v>
      </c>
      <c r="Q28">
        <v>0.22367602378848203</v>
      </c>
      <c r="R28">
        <v>255.57865092828814</v>
      </c>
      <c r="S28">
        <v>4.7139274564051643</v>
      </c>
      <c r="T28">
        <v>2.0808973200183671</v>
      </c>
      <c r="U28">
        <v>29.46929931640625</v>
      </c>
      <c r="V28">
        <v>95.383700000000005</v>
      </c>
      <c r="W28">
        <v>5.1760999999999999</v>
      </c>
      <c r="X28">
        <v>16.261099999999999</v>
      </c>
      <c r="Y28">
        <v>0.54269999999999996</v>
      </c>
      <c r="Z28">
        <v>95.383700000000005</v>
      </c>
      <c r="AA28">
        <v>0.221</v>
      </c>
      <c r="AB28">
        <v>297</v>
      </c>
      <c r="AC28" s="1" t="s">
        <v>213</v>
      </c>
      <c r="AD28" s="3" t="s">
        <v>223</v>
      </c>
      <c r="AE28" s="3">
        <v>1</v>
      </c>
      <c r="AF28">
        <v>61</v>
      </c>
      <c r="AG28">
        <v>10</v>
      </c>
      <c r="AH28">
        <v>22</v>
      </c>
      <c r="AI28">
        <v>42.6</v>
      </c>
      <c r="AJ28">
        <v>35.200000000000003</v>
      </c>
      <c r="AK28">
        <v>0.7</v>
      </c>
      <c r="AL28">
        <v>0.4</v>
      </c>
      <c r="AM28">
        <v>223.8</v>
      </c>
      <c r="AN28">
        <v>185.1</v>
      </c>
      <c r="AO28">
        <v>0.72</v>
      </c>
      <c r="AP28">
        <v>0.67</v>
      </c>
      <c r="AQ28">
        <v>9.1449999999999996</v>
      </c>
      <c r="AR28">
        <v>2.5150000000000001</v>
      </c>
      <c r="AS28">
        <v>10.614000000000001</v>
      </c>
      <c r="AT28">
        <v>2.569</v>
      </c>
      <c r="AU28">
        <v>60.3</v>
      </c>
      <c r="AV28">
        <v>18</v>
      </c>
      <c r="AW28">
        <v>49</v>
      </c>
      <c r="AX28">
        <v>43.6</v>
      </c>
      <c r="AY28">
        <v>39.5</v>
      </c>
      <c r="AZ28">
        <v>0.9</v>
      </c>
      <c r="BA28">
        <v>0.8</v>
      </c>
      <c r="BB28">
        <v>221</v>
      </c>
      <c r="BC28">
        <v>223.6</v>
      </c>
      <c r="BD28">
        <v>0.85</v>
      </c>
      <c r="BE28">
        <v>0.84</v>
      </c>
      <c r="BF28">
        <v>22.068999999999999</v>
      </c>
      <c r="BG28">
        <v>11.1256</v>
      </c>
      <c r="BH28">
        <v>11.35</v>
      </c>
      <c r="BI28">
        <v>3.8759999999999999</v>
      </c>
      <c r="BJ28">
        <v>26.530690571365319</v>
      </c>
      <c r="BK28">
        <v>5.9511064019419267E-2</v>
      </c>
      <c r="BL28">
        <v>221.02014290253322</v>
      </c>
      <c r="BM28">
        <v>17.29539728153344</v>
      </c>
      <c r="BN28">
        <v>26.720109660221095</v>
      </c>
      <c r="BO28">
        <v>68.318544006347651</v>
      </c>
      <c r="BP28">
        <v>18.380979259108972</v>
      </c>
      <c r="BQ28">
        <v>3.1990912344711832E-2</v>
      </c>
      <c r="BR28">
        <v>221.42174539174948</v>
      </c>
      <c r="BS28">
        <v>10.029898479906374</v>
      </c>
      <c r="BT28">
        <v>28.244609021333396</v>
      </c>
      <c r="BU28">
        <v>69.204859924316409</v>
      </c>
      <c r="BV28">
        <v>28.438670053205648</v>
      </c>
      <c r="BW28">
        <v>8.0123215096840755E-2</v>
      </c>
      <c r="BX28">
        <v>246.15706305722065</v>
      </c>
      <c r="BY28">
        <v>21.046095247746187</v>
      </c>
      <c r="BZ28">
        <v>22.635507440641405</v>
      </c>
      <c r="CA28">
        <v>65.907896423339849</v>
      </c>
      <c r="CB28">
        <v>15.880878549545679</v>
      </c>
      <c r="CC28">
        <v>3.5860674445342834E-2</v>
      </c>
      <c r="CD28">
        <v>202.86236870872546</v>
      </c>
      <c r="CE28">
        <v>14.527186508238429</v>
      </c>
      <c r="CF28">
        <v>32.323043668441727</v>
      </c>
      <c r="CG28">
        <v>72.864527893066409</v>
      </c>
      <c r="CH28">
        <v>440.38209999999998</v>
      </c>
      <c r="CI28">
        <v>53.635800000000003</v>
      </c>
      <c r="CJ28">
        <v>168.5017</v>
      </c>
      <c r="CK28">
        <v>1.2179</v>
      </c>
      <c r="CL28">
        <v>440.38209999999998</v>
      </c>
      <c r="CM28">
        <v>5.1310000000000002</v>
      </c>
      <c r="CN28">
        <v>1506</v>
      </c>
      <c r="CO28">
        <v>327.12380000000002</v>
      </c>
      <c r="CP28">
        <v>52.738733333333329</v>
      </c>
      <c r="CQ28">
        <v>165.68363333333335</v>
      </c>
      <c r="CR28">
        <v>1.5053666666666665</v>
      </c>
      <c r="CS28">
        <v>327.12380000000002</v>
      </c>
      <c r="CT28">
        <v>7.2249999999999988</v>
      </c>
      <c r="CU28">
        <v>1469</v>
      </c>
      <c r="CW28">
        <v>84.1</v>
      </c>
      <c r="CX28">
        <v>16</v>
      </c>
      <c r="CY28">
        <v>62</v>
      </c>
      <c r="CZ28">
        <v>20.3</v>
      </c>
      <c r="DA28">
        <v>32</v>
      </c>
      <c r="DB28">
        <v>0.6</v>
      </c>
      <c r="DC28">
        <v>0.7</v>
      </c>
      <c r="DD28">
        <v>311.55750387401338</v>
      </c>
      <c r="DE28">
        <v>232.46142871452582</v>
      </c>
      <c r="DF28">
        <v>0.76</v>
      </c>
      <c r="DG28">
        <v>0.67</v>
      </c>
      <c r="DH28">
        <v>35.640999999999998</v>
      </c>
      <c r="DI28">
        <v>16.324999999999999</v>
      </c>
      <c r="DJ28">
        <v>12.731</v>
      </c>
      <c r="DK28">
        <v>4.5209999999999999</v>
      </c>
      <c r="DL28">
        <v>105.7</v>
      </c>
      <c r="DM28">
        <v>49</v>
      </c>
      <c r="DN28">
        <v>153</v>
      </c>
      <c r="DO28">
        <v>41.6</v>
      </c>
      <c r="DP28">
        <v>38.5</v>
      </c>
      <c r="DQ28">
        <v>0.8</v>
      </c>
      <c r="DR28">
        <v>0.8</v>
      </c>
      <c r="DS28">
        <v>349.00087837415651</v>
      </c>
      <c r="DT28">
        <v>321.07768789854686</v>
      </c>
      <c r="DU28">
        <v>0.84</v>
      </c>
      <c r="DV28">
        <v>0.84</v>
      </c>
      <c r="DW28">
        <v>70.932000000000002</v>
      </c>
      <c r="DX28">
        <v>30.965</v>
      </c>
      <c r="DY28">
        <v>20.751999999999999</v>
      </c>
      <c r="DZ28">
        <v>11.516999999999999</v>
      </c>
      <c r="EB28">
        <v>24.054839491954102</v>
      </c>
      <c r="EC28">
        <v>3.1210631074282812E-2</v>
      </c>
      <c r="ED28">
        <v>187.80967930512921</v>
      </c>
      <c r="EE28">
        <v>13.141776495864715</v>
      </c>
      <c r="EF28">
        <v>33.181366574482375</v>
      </c>
      <c r="EG28">
        <v>73.612103271484372</v>
      </c>
      <c r="EH28">
        <v>18.534010192335714</v>
      </c>
      <c r="EI28">
        <v>2.5940054044265443E-2</v>
      </c>
      <c r="EJ28">
        <v>187.85890521305993</v>
      </c>
      <c r="EK28">
        <v>11.141577446099793</v>
      </c>
      <c r="EL28">
        <v>34.099379883814514</v>
      </c>
      <c r="EM28">
        <v>74.033731079101557</v>
      </c>
      <c r="EO28">
        <v>22.039705736297019</v>
      </c>
      <c r="EP28">
        <v>3.8014725431267826E-2</v>
      </c>
      <c r="EQ28">
        <v>244.4008657815647</v>
      </c>
      <c r="ER28">
        <v>13.15969683700229</v>
      </c>
      <c r="ES28">
        <v>28.295500459505252</v>
      </c>
      <c r="ET28">
        <v>70.216471862792972</v>
      </c>
      <c r="EU28">
        <v>14.64707207124728</v>
      </c>
      <c r="EV28">
        <v>2.0152985333947469E-2</v>
      </c>
      <c r="EW28">
        <v>259.04816544660986</v>
      </c>
      <c r="EX28">
        <v>6.6050536591536817</v>
      </c>
      <c r="EY28">
        <v>26.836065560522758</v>
      </c>
      <c r="EZ28">
        <v>69.0589599609375</v>
      </c>
      <c r="FB28">
        <v>300.47019999999998</v>
      </c>
      <c r="FC28">
        <v>215.70070000000001</v>
      </c>
      <c r="FD28">
        <v>677.64380000000006</v>
      </c>
      <c r="FE28">
        <v>4587.0025999999998</v>
      </c>
      <c r="FF28">
        <v>0.47020000000000001</v>
      </c>
      <c r="FG28">
        <v>77708.845000000001</v>
      </c>
      <c r="FH28">
        <v>2695</v>
      </c>
      <c r="FI28">
        <v>1080.9047</v>
      </c>
      <c r="FJ28">
        <v>154.5018</v>
      </c>
      <c r="FK28">
        <v>485.38170000000002</v>
      </c>
      <c r="FL28">
        <v>1.4294</v>
      </c>
      <c r="FM28">
        <v>1080.9047</v>
      </c>
      <c r="FN28">
        <v>17.344999999999999</v>
      </c>
      <c r="FO28">
        <v>3813</v>
      </c>
      <c r="FQ28">
        <v>20.100000000000001</v>
      </c>
      <c r="FR28">
        <v>0.7</v>
      </c>
      <c r="FS28">
        <v>280.62267748062766</v>
      </c>
      <c r="FT28">
        <v>0.81</v>
      </c>
      <c r="FU28">
        <v>35</v>
      </c>
      <c r="FV28">
        <v>1.3</v>
      </c>
      <c r="FW28">
        <v>395.12718524992908</v>
      </c>
      <c r="FX28">
        <v>0.82</v>
      </c>
      <c r="FY28">
        <v>34.473447110182683</v>
      </c>
      <c r="FZ28">
        <v>0.61788253477330191</v>
      </c>
      <c r="GA28">
        <v>315.42727098646151</v>
      </c>
      <c r="GB28">
        <v>17.77072563442972</v>
      </c>
      <c r="GC28">
        <v>3.0486836501025123</v>
      </c>
      <c r="GD28">
        <v>38.140987396240234</v>
      </c>
      <c r="GF28">
        <v>24.714466954893776</v>
      </c>
      <c r="GG28">
        <v>0.42656944234535621</v>
      </c>
      <c r="GH28">
        <v>318.33894391232246</v>
      </c>
      <c r="GI28">
        <v>14.037496172872229</v>
      </c>
      <c r="GJ28">
        <v>3.3430433934052131</v>
      </c>
      <c r="GK28">
        <v>38.139129638671875</v>
      </c>
      <c r="GM28">
        <v>82</v>
      </c>
      <c r="GN28">
        <v>86</v>
      </c>
      <c r="GO28">
        <v>118</v>
      </c>
      <c r="GP28">
        <v>85</v>
      </c>
      <c r="GQ28">
        <v>89</v>
      </c>
      <c r="GR28">
        <v>121</v>
      </c>
      <c r="GT28">
        <v>102</v>
      </c>
      <c r="GU28">
        <v>31</v>
      </c>
      <c r="GV28">
        <v>19</v>
      </c>
      <c r="GW28">
        <v>77.69</v>
      </c>
      <c r="GX28">
        <v>36.72</v>
      </c>
      <c r="GY28">
        <v>17.86</v>
      </c>
      <c r="GZ28">
        <v>17.111999999999998</v>
      </c>
      <c r="HB28">
        <v>90</v>
      </c>
      <c r="HC28">
        <v>17</v>
      </c>
      <c r="HD28">
        <v>11</v>
      </c>
      <c r="HE28">
        <v>40.119999999999997</v>
      </c>
      <c r="HF28">
        <v>26.21</v>
      </c>
      <c r="HG28">
        <v>13.47</v>
      </c>
      <c r="HH28">
        <v>19.559999999999999</v>
      </c>
    </row>
    <row r="29" spans="1:216" x14ac:dyDescent="0.25">
      <c r="B29" s="1" t="s">
        <v>213</v>
      </c>
      <c r="C29" s="3" t="s">
        <v>222</v>
      </c>
      <c r="D29" s="3">
        <v>2</v>
      </c>
      <c r="E29" s="6">
        <v>54.5</v>
      </c>
      <c r="F29" s="6">
        <v>0</v>
      </c>
      <c r="G29" s="6">
        <v>3</v>
      </c>
      <c r="H29" s="6">
        <v>34.6</v>
      </c>
      <c r="I29" s="6">
        <v>0.3</v>
      </c>
      <c r="J29" s="6">
        <v>38.200000000000003</v>
      </c>
      <c r="K29" s="6">
        <v>0.4</v>
      </c>
      <c r="L29">
        <v>0.751</v>
      </c>
      <c r="M29">
        <v>0.36</v>
      </c>
      <c r="N29">
        <v>0.21</v>
      </c>
      <c r="O29">
        <v>6.1000000000000004E-3</v>
      </c>
      <c r="P29">
        <v>7.5050387264907563</v>
      </c>
      <c r="Q29">
        <v>0.36783153376882838</v>
      </c>
      <c r="R29">
        <v>300.36036434878008</v>
      </c>
      <c r="S29">
        <v>7.0310092054144588</v>
      </c>
      <c r="T29">
        <v>1.9423766433233678</v>
      </c>
      <c r="U29">
        <v>28.964876174926758</v>
      </c>
      <c r="V29">
        <v>123.7388</v>
      </c>
      <c r="W29">
        <v>11.4262</v>
      </c>
      <c r="X29">
        <v>35.896299999999997</v>
      </c>
      <c r="Y29">
        <v>0.9234</v>
      </c>
      <c r="Z29">
        <v>123.7388</v>
      </c>
      <c r="AA29">
        <v>0.82899999999999996</v>
      </c>
      <c r="AB29">
        <v>379</v>
      </c>
      <c r="AD29" s="3" t="s">
        <v>223</v>
      </c>
      <c r="AE29" s="3">
        <v>2</v>
      </c>
      <c r="AF29">
        <v>44.6</v>
      </c>
      <c r="AG29">
        <v>5</v>
      </c>
      <c r="AH29">
        <v>12</v>
      </c>
      <c r="AI29">
        <v>31</v>
      </c>
      <c r="AJ29">
        <v>28.1</v>
      </c>
      <c r="AK29">
        <v>0.6</v>
      </c>
      <c r="AL29">
        <v>0.4</v>
      </c>
      <c r="AM29">
        <v>250.1</v>
      </c>
      <c r="AN29">
        <v>150.9</v>
      </c>
      <c r="AO29">
        <v>0.75</v>
      </c>
      <c r="AP29">
        <v>0.64</v>
      </c>
      <c r="AQ29">
        <v>4.4560000000000004</v>
      </c>
      <c r="AR29">
        <v>1.2250000000000001</v>
      </c>
      <c r="AS29">
        <v>4.0640000000000001</v>
      </c>
      <c r="AT29">
        <v>1.321</v>
      </c>
      <c r="AU29">
        <v>67.400000000000006</v>
      </c>
      <c r="AV29">
        <v>19</v>
      </c>
      <c r="AW29">
        <v>48</v>
      </c>
      <c r="AX29">
        <v>53.5</v>
      </c>
      <c r="AY29">
        <v>37.5</v>
      </c>
      <c r="AZ29">
        <v>0.8</v>
      </c>
      <c r="BA29">
        <v>0.6</v>
      </c>
      <c r="BB29">
        <v>218.9</v>
      </c>
      <c r="BC29">
        <v>210.7</v>
      </c>
      <c r="BD29">
        <v>0.85</v>
      </c>
      <c r="BE29">
        <v>0.85</v>
      </c>
      <c r="BF29">
        <v>26.78</v>
      </c>
      <c r="BG29">
        <v>14.612</v>
      </c>
      <c r="BH29">
        <v>12.361000000000001</v>
      </c>
      <c r="BI29">
        <v>3.0790000000000002</v>
      </c>
      <c r="BJ29">
        <v>24.960759604567919</v>
      </c>
      <c r="BK29">
        <v>2.8588058082851246E-2</v>
      </c>
      <c r="BL29">
        <v>137.23685689722322</v>
      </c>
      <c r="BM29">
        <v>14.752149401127264</v>
      </c>
      <c r="BN29">
        <v>42.996326331888284</v>
      </c>
      <c r="BO29">
        <v>78.53469543457031</v>
      </c>
      <c r="BP29">
        <v>3.5623970004701162</v>
      </c>
      <c r="BQ29">
        <v>4.7728966030846798E-3</v>
      </c>
      <c r="BR29">
        <v>137.70907471941629</v>
      </c>
      <c r="BS29">
        <v>2.7740453868510153</v>
      </c>
      <c r="BT29">
        <v>45.463018095176551</v>
      </c>
      <c r="BU29">
        <v>79.757453918457031</v>
      </c>
      <c r="BV29">
        <v>22.074806807822647</v>
      </c>
      <c r="BW29">
        <v>3.023726954194671E-2</v>
      </c>
      <c r="BX29">
        <v>193.19269947874733</v>
      </c>
      <c r="BY29">
        <v>12.289676698139809</v>
      </c>
      <c r="BZ29">
        <v>33.079527790885962</v>
      </c>
      <c r="CA29">
        <v>73.257215881347662</v>
      </c>
      <c r="CB29">
        <v>20.989658293753052</v>
      </c>
      <c r="CC29">
        <v>4.7347591710259963E-2</v>
      </c>
      <c r="CD29">
        <v>248.52925445966088</v>
      </c>
      <c r="CE29">
        <v>13.158008134805254</v>
      </c>
      <c r="CF29">
        <v>23.479784266376367</v>
      </c>
      <c r="CG29">
        <v>66.422654724121088</v>
      </c>
      <c r="CH29">
        <v>461.96359999999999</v>
      </c>
      <c r="CI29">
        <v>52.996600000000001</v>
      </c>
      <c r="CJ29">
        <v>166.49359999999999</v>
      </c>
      <c r="CK29">
        <v>1.1472</v>
      </c>
      <c r="CL29">
        <v>461.96359999999999</v>
      </c>
      <c r="CM29">
        <v>4.7750000000000004</v>
      </c>
      <c r="CN29">
        <v>1811</v>
      </c>
      <c r="CO29">
        <v>306.74970000000002</v>
      </c>
      <c r="CP29">
        <v>18.035699999999999</v>
      </c>
      <c r="CQ29">
        <v>56.660833333333336</v>
      </c>
      <c r="CR29">
        <v>0.69956666666666667</v>
      </c>
      <c r="CS29">
        <v>257.33603333333332</v>
      </c>
      <c r="CT29">
        <v>1.0386666666666666</v>
      </c>
      <c r="CU29">
        <v>1089.6666666666667</v>
      </c>
      <c r="CW29">
        <v>81.599999999999994</v>
      </c>
      <c r="CX29">
        <v>13</v>
      </c>
      <c r="CY29">
        <v>46</v>
      </c>
      <c r="CZ29">
        <v>27.6</v>
      </c>
      <c r="DA29">
        <v>28.5</v>
      </c>
      <c r="DB29">
        <v>0.6</v>
      </c>
      <c r="DC29">
        <v>0.7</v>
      </c>
      <c r="DD29">
        <v>306.75466080814965</v>
      </c>
      <c r="DE29">
        <v>227.08637759149445</v>
      </c>
      <c r="DF29">
        <v>0.78</v>
      </c>
      <c r="DG29">
        <v>0.64</v>
      </c>
      <c r="DH29">
        <v>35.453000000000003</v>
      </c>
      <c r="DI29">
        <v>16.751000000000001</v>
      </c>
      <c r="DJ29">
        <v>12.451000000000001</v>
      </c>
      <c r="DK29">
        <v>5.0919999999999996</v>
      </c>
      <c r="DL29">
        <v>113.4</v>
      </c>
      <c r="DM29">
        <v>45</v>
      </c>
      <c r="DN29">
        <v>146</v>
      </c>
      <c r="DO29">
        <v>35.1</v>
      </c>
      <c r="DP29">
        <v>40.299999999999997</v>
      </c>
      <c r="DQ29">
        <v>0.8</v>
      </c>
      <c r="DR29">
        <v>0.8</v>
      </c>
      <c r="DS29">
        <v>356.59962632674217</v>
      </c>
      <c r="DT29">
        <v>324.22649161672069</v>
      </c>
      <c r="DU29">
        <v>0.85</v>
      </c>
      <c r="DV29">
        <v>0.85</v>
      </c>
      <c r="DW29">
        <v>65.141000000000005</v>
      </c>
      <c r="DX29">
        <v>27.812000000000001</v>
      </c>
      <c r="DY29">
        <v>21.751999999999999</v>
      </c>
      <c r="DZ29">
        <v>12.612</v>
      </c>
      <c r="EB29">
        <v>20.098825774717717</v>
      </c>
      <c r="EC29">
        <v>4.0523418668075246E-2</v>
      </c>
      <c r="ED29">
        <v>234.45353775508474</v>
      </c>
      <c r="EE29">
        <v>12.011977688718364</v>
      </c>
      <c r="EF29">
        <v>25.771236688389433</v>
      </c>
      <c r="EG29">
        <v>68.016294860839849</v>
      </c>
      <c r="EH29">
        <v>15.880878549545679</v>
      </c>
      <c r="EI29">
        <v>3.5860674445342834E-2</v>
      </c>
      <c r="EJ29">
        <v>202.86236870872546</v>
      </c>
      <c r="EK29">
        <v>14.527186508238429</v>
      </c>
      <c r="EL29">
        <v>32.323043668441727</v>
      </c>
      <c r="EM29">
        <v>72.864527893066409</v>
      </c>
      <c r="EO29">
        <v>20.929259111968733</v>
      </c>
      <c r="EP29">
        <v>3.0192221247124215E-2</v>
      </c>
      <c r="EQ29">
        <v>270.98709559071568</v>
      </c>
      <c r="ER29">
        <v>8.7877438091046489</v>
      </c>
      <c r="ES29">
        <v>24.24019929400308</v>
      </c>
      <c r="ET29">
        <v>67.100502014160156</v>
      </c>
      <c r="EU29">
        <v>17.917042532578503</v>
      </c>
      <c r="EV29">
        <v>3.3078692174667461E-2</v>
      </c>
      <c r="EW29">
        <v>263.09843586445908</v>
      </c>
      <c r="EX29">
        <v>10.350689538773135</v>
      </c>
      <c r="EY29">
        <v>25.809846527742664</v>
      </c>
      <c r="EZ29">
        <v>68.391525268554688</v>
      </c>
      <c r="FB29">
        <v>420.28730000000002</v>
      </c>
      <c r="FC29">
        <v>306.93509999999998</v>
      </c>
      <c r="FD29">
        <v>964.26499999999999</v>
      </c>
      <c r="FE29">
        <v>10682.5762</v>
      </c>
      <c r="FF29">
        <v>0.2873</v>
      </c>
      <c r="FG29">
        <v>257520.856</v>
      </c>
      <c r="FH29">
        <v>1875</v>
      </c>
      <c r="FI29">
        <v>809.60379999999998</v>
      </c>
      <c r="FJ29">
        <v>152.91069999999999</v>
      </c>
      <c r="FK29">
        <v>480.38299999999998</v>
      </c>
      <c r="FL29">
        <v>1.8887</v>
      </c>
      <c r="FM29">
        <v>809.60379999999998</v>
      </c>
      <c r="FN29">
        <v>22.683</v>
      </c>
      <c r="FO29">
        <v>4857</v>
      </c>
      <c r="FQ29">
        <v>17.5</v>
      </c>
      <c r="FR29">
        <v>0.7</v>
      </c>
      <c r="FS29">
        <v>290.52808376429698</v>
      </c>
      <c r="FT29">
        <v>0.81</v>
      </c>
      <c r="FU29">
        <v>33.4</v>
      </c>
      <c r="FV29">
        <v>1.3</v>
      </c>
      <c r="FW29">
        <v>400.91852764639879</v>
      </c>
      <c r="FX29">
        <v>0.81</v>
      </c>
      <c r="FY29">
        <v>34.533854984992672</v>
      </c>
      <c r="FZ29">
        <v>0.61783653279821493</v>
      </c>
      <c r="GA29">
        <v>315.21791497760398</v>
      </c>
      <c r="GB29">
        <v>17.773430271787557</v>
      </c>
      <c r="GC29">
        <v>3.0493333031802883</v>
      </c>
      <c r="GD29">
        <v>38.143333435058594</v>
      </c>
      <c r="GF29">
        <v>24.416456618183997</v>
      </c>
      <c r="GG29">
        <v>0.42653764220571039</v>
      </c>
      <c r="GH29">
        <v>319.53152331603962</v>
      </c>
      <c r="GI29">
        <v>14.036323522193021</v>
      </c>
      <c r="GJ29">
        <v>3.3429988789374128</v>
      </c>
      <c r="GK29">
        <v>38.138519287109375</v>
      </c>
      <c r="GM29">
        <v>82</v>
      </c>
      <c r="GN29">
        <v>86</v>
      </c>
      <c r="GO29">
        <v>118</v>
      </c>
      <c r="GP29">
        <v>85</v>
      </c>
      <c r="GQ29">
        <v>89</v>
      </c>
      <c r="GR29">
        <v>121</v>
      </c>
      <c r="GT29">
        <v>96</v>
      </c>
      <c r="GU29">
        <v>36</v>
      </c>
      <c r="GV29">
        <v>14</v>
      </c>
      <c r="GW29">
        <v>76.540000000000006</v>
      </c>
      <c r="GX29">
        <v>35.11</v>
      </c>
      <c r="GY29">
        <v>16.55</v>
      </c>
      <c r="GZ29">
        <v>16.89</v>
      </c>
      <c r="HB29">
        <v>90</v>
      </c>
      <c r="HC29">
        <v>9</v>
      </c>
      <c r="HD29">
        <v>5</v>
      </c>
      <c r="HE29">
        <v>35.61</v>
      </c>
      <c r="HF29">
        <v>20.12</v>
      </c>
      <c r="HG29">
        <v>11.65</v>
      </c>
      <c r="HH29">
        <v>18.52</v>
      </c>
    </row>
    <row r="30" spans="1:216" x14ac:dyDescent="0.25">
      <c r="B30" s="1" t="s">
        <v>213</v>
      </c>
      <c r="C30" s="3" t="s">
        <v>222</v>
      </c>
      <c r="D30" s="3">
        <v>3</v>
      </c>
      <c r="E30" s="6">
        <v>36.5</v>
      </c>
      <c r="F30" s="6">
        <v>0</v>
      </c>
      <c r="G30" s="6">
        <v>3</v>
      </c>
      <c r="H30" s="6">
        <v>22.9</v>
      </c>
      <c r="I30" s="6">
        <v>0.3</v>
      </c>
      <c r="J30" s="6">
        <v>7.1</v>
      </c>
      <c r="K30" s="6">
        <v>0.12</v>
      </c>
      <c r="L30">
        <v>0.21600000000000003</v>
      </c>
      <c r="M30">
        <v>0.12</v>
      </c>
      <c r="N30">
        <v>0.105</v>
      </c>
      <c r="O30">
        <v>6.3E-2</v>
      </c>
      <c r="P30">
        <v>8.3039827024591286</v>
      </c>
      <c r="Q30">
        <v>0.37398379079203614</v>
      </c>
      <c r="R30">
        <v>297.21473261830647</v>
      </c>
      <c r="S30">
        <v>7.1294011053667292</v>
      </c>
      <c r="T30">
        <v>1.939456796200882</v>
      </c>
      <c r="U30">
        <v>28.95557975769043</v>
      </c>
      <c r="V30">
        <v>60.861899999999999</v>
      </c>
      <c r="W30">
        <v>2.6541000000000001</v>
      </c>
      <c r="X30">
        <v>8.3382000000000005</v>
      </c>
      <c r="Y30">
        <v>0.43609999999999999</v>
      </c>
      <c r="Z30">
        <v>60.861899999999999</v>
      </c>
      <c r="AA30">
        <v>9.0999999999999998E-2</v>
      </c>
      <c r="AB30">
        <v>216</v>
      </c>
      <c r="AD30" s="3" t="s">
        <v>223</v>
      </c>
      <c r="AE30" s="3">
        <v>3</v>
      </c>
      <c r="AF30">
        <v>46.3</v>
      </c>
      <c r="AG30">
        <v>5</v>
      </c>
      <c r="AH30">
        <v>10</v>
      </c>
      <c r="AI30">
        <v>32.4</v>
      </c>
      <c r="AJ30">
        <v>17.7</v>
      </c>
      <c r="AK30">
        <v>0.5</v>
      </c>
      <c r="AL30">
        <v>0.9</v>
      </c>
      <c r="AM30">
        <v>250.8</v>
      </c>
      <c r="AN30">
        <v>139.9</v>
      </c>
      <c r="AO30">
        <v>0.73</v>
      </c>
      <c r="AP30">
        <v>0.67</v>
      </c>
      <c r="AQ30">
        <v>5.141</v>
      </c>
      <c r="AR30">
        <v>1.885</v>
      </c>
      <c r="AS30">
        <v>4.0540000000000003</v>
      </c>
      <c r="AT30">
        <v>1.032</v>
      </c>
      <c r="AU30">
        <v>63</v>
      </c>
      <c r="AV30">
        <v>20</v>
      </c>
      <c r="AW30">
        <v>52</v>
      </c>
      <c r="AX30">
        <v>45.7</v>
      </c>
      <c r="AY30">
        <v>36.200000000000003</v>
      </c>
      <c r="AZ30">
        <v>0.8</v>
      </c>
      <c r="BA30">
        <v>0.65</v>
      </c>
      <c r="BB30">
        <v>236.4</v>
      </c>
      <c r="BC30">
        <v>227.5</v>
      </c>
      <c r="BD30">
        <v>0.85</v>
      </c>
      <c r="BE30">
        <v>0.84</v>
      </c>
      <c r="BF30">
        <v>21.137</v>
      </c>
      <c r="BG30">
        <v>10.916</v>
      </c>
      <c r="BH30">
        <v>14.31</v>
      </c>
      <c r="BI30">
        <v>3.512</v>
      </c>
      <c r="BJ30">
        <v>22.847836218331121</v>
      </c>
      <c r="BK30">
        <v>1.8037585026631598E-2</v>
      </c>
      <c r="BL30">
        <v>109.54455944330209</v>
      </c>
      <c r="BM30">
        <v>11.933272120952061</v>
      </c>
      <c r="BN30">
        <v>49.071715387847384</v>
      </c>
      <c r="BO30">
        <v>81.798283386230466</v>
      </c>
      <c r="BP30">
        <v>3.5105105143760924</v>
      </c>
      <c r="BQ30">
        <v>6.0391239524905374E-3</v>
      </c>
      <c r="BR30">
        <v>267.57667853580256</v>
      </c>
      <c r="BS30">
        <v>1.613293233498164</v>
      </c>
      <c r="BT30">
        <v>22.40978467382465</v>
      </c>
      <c r="BU30">
        <v>65.096624755859381</v>
      </c>
      <c r="BV30">
        <v>20.443423667545435</v>
      </c>
      <c r="BW30">
        <v>3.343832560009475E-2</v>
      </c>
      <c r="BX30">
        <v>155.07286512450082</v>
      </c>
      <c r="BY30">
        <v>16.597820528703391</v>
      </c>
      <c r="BZ30">
        <v>40.500590195191393</v>
      </c>
      <c r="CA30">
        <v>77.369146728515631</v>
      </c>
      <c r="CB30">
        <v>15.880878549545679</v>
      </c>
      <c r="CC30">
        <v>3.5860674445342834E-2</v>
      </c>
      <c r="CD30">
        <v>202.86236870872546</v>
      </c>
      <c r="CE30">
        <v>14.527186508238429</v>
      </c>
      <c r="CF30">
        <v>32.323043668441727</v>
      </c>
      <c r="CG30">
        <v>72.864527893066409</v>
      </c>
      <c r="CH30">
        <v>290.04649999999998</v>
      </c>
      <c r="CI30">
        <v>68.826499999999996</v>
      </c>
      <c r="CJ30">
        <v>216.22479999999999</v>
      </c>
      <c r="CK30">
        <v>2.3729</v>
      </c>
      <c r="CL30">
        <v>290.04649999999998</v>
      </c>
      <c r="CM30">
        <v>12.827</v>
      </c>
      <c r="CN30">
        <v>1244</v>
      </c>
      <c r="CW30">
        <v>75.8</v>
      </c>
      <c r="CX30">
        <v>12</v>
      </c>
      <c r="CY30">
        <v>42</v>
      </c>
      <c r="CZ30">
        <v>23.2</v>
      </c>
      <c r="DA30">
        <v>29.2</v>
      </c>
      <c r="DB30">
        <v>0.6</v>
      </c>
      <c r="DC30">
        <v>0.7</v>
      </c>
      <c r="DD30">
        <v>300.30491339493415</v>
      </c>
      <c r="DE30">
        <v>230.67487711071743</v>
      </c>
      <c r="DF30">
        <v>0.76</v>
      </c>
      <c r="DG30">
        <v>0.67</v>
      </c>
      <c r="DH30">
        <v>28.923999999999999</v>
      </c>
      <c r="DI30">
        <v>16.513999999999999</v>
      </c>
      <c r="DJ30">
        <v>14.012</v>
      </c>
      <c r="DK30">
        <v>5.125</v>
      </c>
      <c r="DL30">
        <v>103.6</v>
      </c>
      <c r="DM30">
        <v>41</v>
      </c>
      <c r="DN30">
        <v>137</v>
      </c>
      <c r="DO30">
        <v>32.700000000000003</v>
      </c>
      <c r="DP30">
        <v>41.1</v>
      </c>
      <c r="DQ30">
        <v>0.8</v>
      </c>
      <c r="DR30">
        <v>0.8</v>
      </c>
      <c r="DS30">
        <v>345.94292873858831</v>
      </c>
      <c r="DT30">
        <v>314.74339304151636</v>
      </c>
      <c r="DU30">
        <v>0.85</v>
      </c>
      <c r="DV30">
        <v>0.84</v>
      </c>
      <c r="DW30">
        <v>69.762</v>
      </c>
      <c r="DX30">
        <v>34.563000000000002</v>
      </c>
      <c r="DY30">
        <v>20.951000000000001</v>
      </c>
      <c r="DZ30">
        <v>10.930999999999999</v>
      </c>
      <c r="EB30">
        <v>28.438670053205648</v>
      </c>
      <c r="EC30">
        <v>8.0123215096840755E-2</v>
      </c>
      <c r="ED30">
        <v>246.15706305722065</v>
      </c>
      <c r="EE30">
        <v>21.046095247746187</v>
      </c>
      <c r="EF30">
        <v>22.635507440641405</v>
      </c>
      <c r="EG30">
        <v>65.907896423339849</v>
      </c>
      <c r="EH30">
        <v>20.989658293753052</v>
      </c>
      <c r="EI30">
        <v>4.7347591710259963E-2</v>
      </c>
      <c r="EJ30">
        <v>248.52925445966088</v>
      </c>
      <c r="EK30">
        <v>13.158008134805254</v>
      </c>
      <c r="EL30">
        <v>23.479784266376367</v>
      </c>
      <c r="EM30">
        <v>66.422654724121088</v>
      </c>
      <c r="EO30">
        <v>22.192230111924967</v>
      </c>
      <c r="EP30">
        <v>3.5229219575203939E-2</v>
      </c>
      <c r="EQ30">
        <v>237.24545911199263</v>
      </c>
      <c r="ER30">
        <v>12.858640585090145</v>
      </c>
      <c r="ES30">
        <v>29.445613852367806</v>
      </c>
      <c r="ET30">
        <v>71.048065185546875</v>
      </c>
      <c r="EU30">
        <v>14.537057764220146</v>
      </c>
      <c r="EV30">
        <v>2.0022396908458709E-2</v>
      </c>
      <c r="EW30">
        <v>258.86158224128297</v>
      </c>
      <c r="EX30">
        <v>6.5749358664446769</v>
      </c>
      <c r="EY30">
        <v>26.880280070935342</v>
      </c>
      <c r="EZ30">
        <v>69.091262817382813</v>
      </c>
      <c r="FB30">
        <v>366.49220000000003</v>
      </c>
      <c r="FC30">
        <v>223.51820000000001</v>
      </c>
      <c r="FD30">
        <v>702.20309999999995</v>
      </c>
      <c r="FE30">
        <v>6.0989000000000004</v>
      </c>
      <c r="FF30">
        <v>366.49220000000003</v>
      </c>
      <c r="FG30">
        <v>107.066</v>
      </c>
      <c r="FH30">
        <v>3384</v>
      </c>
      <c r="FI30">
        <v>831.72069999999997</v>
      </c>
      <c r="FJ30">
        <v>163.70429999999999</v>
      </c>
      <c r="FK30">
        <v>514.29240000000004</v>
      </c>
      <c r="FL30">
        <v>1.9682999999999999</v>
      </c>
      <c r="FM30">
        <v>831.72069999999997</v>
      </c>
      <c r="FN30">
        <v>25.306999999999999</v>
      </c>
      <c r="FO30">
        <v>3169</v>
      </c>
      <c r="FQ30">
        <v>21.1</v>
      </c>
      <c r="FR30">
        <v>0.8</v>
      </c>
      <c r="FS30">
        <v>292.1662979157914</v>
      </c>
      <c r="FT30">
        <v>0.81</v>
      </c>
      <c r="FU30">
        <v>34.200000000000003</v>
      </c>
      <c r="FV30">
        <v>1.3</v>
      </c>
      <c r="FW30">
        <v>396.57822999628564</v>
      </c>
      <c r="FX30">
        <v>0.81</v>
      </c>
      <c r="FY30">
        <v>34.518201866915469</v>
      </c>
      <c r="FZ30">
        <v>0.61783431204540284</v>
      </c>
      <c r="GA30">
        <v>315.25969264353876</v>
      </c>
      <c r="GB30">
        <v>17.780329737593483</v>
      </c>
      <c r="GC30">
        <v>3.0504955961341569</v>
      </c>
      <c r="GD30">
        <v>38.147518157958984</v>
      </c>
      <c r="GF30">
        <v>24.326775132745322</v>
      </c>
      <c r="GG30">
        <v>0.42606155018802788</v>
      </c>
      <c r="GH30">
        <v>319.79606897298845</v>
      </c>
      <c r="GI30">
        <v>14.02867414174775</v>
      </c>
      <c r="GJ30">
        <v>3.3445776082067122</v>
      </c>
      <c r="GK30">
        <v>38.141952514648438</v>
      </c>
      <c r="GM30">
        <v>82</v>
      </c>
      <c r="GN30">
        <v>86</v>
      </c>
      <c r="GO30">
        <v>118</v>
      </c>
      <c r="GP30">
        <v>85</v>
      </c>
      <c r="GQ30">
        <v>89</v>
      </c>
      <c r="GR30">
        <v>121</v>
      </c>
      <c r="GT30">
        <v>100</v>
      </c>
      <c r="GU30">
        <v>38</v>
      </c>
      <c r="GV30">
        <v>12</v>
      </c>
      <c r="GW30">
        <v>75.98</v>
      </c>
      <c r="GX30">
        <v>35.979999999999997</v>
      </c>
      <c r="GY30">
        <v>16.12</v>
      </c>
      <c r="GZ30">
        <v>16.09</v>
      </c>
      <c r="HB30">
        <v>84</v>
      </c>
      <c r="HC30">
        <v>9</v>
      </c>
      <c r="HD30">
        <v>5</v>
      </c>
      <c r="HE30">
        <v>36.119999999999997</v>
      </c>
      <c r="HF30">
        <v>20.65</v>
      </c>
      <c r="HG30">
        <v>11.89</v>
      </c>
      <c r="HH30">
        <v>18.09</v>
      </c>
    </row>
    <row r="31" spans="1:216" x14ac:dyDescent="0.25">
      <c r="A31" t="s">
        <v>210</v>
      </c>
      <c r="B31" s="1" t="s">
        <v>214</v>
      </c>
      <c r="C31" s="3" t="s">
        <v>222</v>
      </c>
      <c r="D31" s="3">
        <v>1</v>
      </c>
      <c r="E31" s="6">
        <v>44.5</v>
      </c>
      <c r="F31" s="6">
        <v>0</v>
      </c>
      <c r="G31" s="6">
        <v>3</v>
      </c>
      <c r="H31" s="6">
        <v>24.7</v>
      </c>
      <c r="I31" s="6">
        <v>0.7</v>
      </c>
      <c r="J31" s="6">
        <v>20.7</v>
      </c>
      <c r="K31" s="6">
        <v>0.2</v>
      </c>
      <c r="L31">
        <v>0.57099999999999995</v>
      </c>
      <c r="M31">
        <v>0.25600000000000001</v>
      </c>
      <c r="N31">
        <v>0.19800000000000001</v>
      </c>
      <c r="O31">
        <v>9.0999999999999998E-2</v>
      </c>
      <c r="P31">
        <v>7.4037798485272193</v>
      </c>
      <c r="Q31">
        <v>0.3777619915910585</v>
      </c>
      <c r="R31">
        <v>301.66044052836492</v>
      </c>
      <c r="S31">
        <v>7.1902502747912864</v>
      </c>
      <c r="T31">
        <v>1.9378506638381308</v>
      </c>
      <c r="U31">
        <v>28.952205657958984</v>
      </c>
      <c r="V31">
        <v>126.8158</v>
      </c>
      <c r="W31">
        <v>7.8205999999999998</v>
      </c>
      <c r="X31">
        <v>24.569299999999998</v>
      </c>
      <c r="Y31">
        <v>0.61670000000000003</v>
      </c>
      <c r="Z31">
        <v>126.8158</v>
      </c>
      <c r="AA31">
        <v>0.379</v>
      </c>
      <c r="AB31">
        <v>486</v>
      </c>
      <c r="AC31" s="1" t="s">
        <v>214</v>
      </c>
      <c r="AD31" s="3" t="s">
        <v>223</v>
      </c>
      <c r="AE31" s="3">
        <v>1</v>
      </c>
      <c r="AF31">
        <v>65.099999999999994</v>
      </c>
      <c r="AG31">
        <v>5</v>
      </c>
      <c r="AH31">
        <v>15</v>
      </c>
      <c r="AI31">
        <v>41.6</v>
      </c>
      <c r="AJ31">
        <v>38.5</v>
      </c>
      <c r="AK31">
        <v>0.8</v>
      </c>
      <c r="AL31">
        <v>0.5</v>
      </c>
      <c r="AM31">
        <v>217.3</v>
      </c>
      <c r="AN31">
        <v>107.8</v>
      </c>
      <c r="AO31">
        <v>0.75</v>
      </c>
      <c r="AP31">
        <v>0.62</v>
      </c>
      <c r="AQ31">
        <v>10.353999999999999</v>
      </c>
      <c r="AR31">
        <v>3.0790000000000002</v>
      </c>
      <c r="AS31">
        <v>10.021000000000001</v>
      </c>
      <c r="AT31">
        <v>2.9870000000000001</v>
      </c>
      <c r="AU31">
        <v>69.599999999999994</v>
      </c>
      <c r="AV31">
        <v>12</v>
      </c>
      <c r="AW31">
        <v>33</v>
      </c>
      <c r="AX31">
        <v>47.1</v>
      </c>
      <c r="AY31">
        <v>32</v>
      </c>
      <c r="AZ31">
        <v>1.1000000000000001</v>
      </c>
      <c r="BA31">
        <v>1.1000000000000001</v>
      </c>
      <c r="BB31">
        <v>321.7</v>
      </c>
      <c r="BC31">
        <v>308.60000000000002</v>
      </c>
      <c r="BD31">
        <v>0.83</v>
      </c>
      <c r="BE31">
        <v>0.84</v>
      </c>
      <c r="BF31">
        <v>17.27</v>
      </c>
      <c r="BG31">
        <v>9.8119999999999994</v>
      </c>
      <c r="BH31">
        <v>7.8609999999999998</v>
      </c>
      <c r="BI31">
        <v>2.3370000000000002</v>
      </c>
      <c r="BJ31">
        <v>23.954023464585248</v>
      </c>
      <c r="BK31">
        <v>5.0135636548744034E-2</v>
      </c>
      <c r="BL31">
        <v>226.06689530088502</v>
      </c>
      <c r="BM31">
        <v>14.488328988558603</v>
      </c>
      <c r="BN31">
        <v>25.452224779534784</v>
      </c>
      <c r="BO31">
        <v>67.772816467285153</v>
      </c>
      <c r="BP31">
        <v>12.527256820037255</v>
      </c>
      <c r="BQ31">
        <v>1.7487162467628884E-2</v>
      </c>
      <c r="BR31">
        <v>167.9902146492027</v>
      </c>
      <c r="BS31">
        <v>7.235898976371077</v>
      </c>
      <c r="BT31">
        <v>38.762865068448754</v>
      </c>
      <c r="BU31">
        <v>75.434278869628912</v>
      </c>
      <c r="BV31">
        <v>22.88311256470422</v>
      </c>
      <c r="BW31">
        <v>4.772695851511962E-2</v>
      </c>
      <c r="BX31">
        <v>190.51353659828092</v>
      </c>
      <c r="BY31">
        <v>17.530387066532672</v>
      </c>
      <c r="BZ31">
        <v>33.37056295990137</v>
      </c>
      <c r="CA31">
        <v>72.747575378417963</v>
      </c>
      <c r="CB31">
        <v>20.492858860436918</v>
      </c>
      <c r="CC31">
        <v>4.1594328090430441E-2</v>
      </c>
      <c r="CD31">
        <v>217.23280573171297</v>
      </c>
      <c r="CE31">
        <v>14.232271670858534</v>
      </c>
      <c r="CF31">
        <v>27.973072618136712</v>
      </c>
      <c r="CG31">
        <v>70.244425964355472</v>
      </c>
      <c r="CH31">
        <v>336.87060000000002</v>
      </c>
      <c r="CI31">
        <v>57.983499999999999</v>
      </c>
      <c r="CJ31">
        <v>182.16069999999999</v>
      </c>
      <c r="CK31">
        <v>1.7212000000000001</v>
      </c>
      <c r="CL31">
        <v>336.87060000000002</v>
      </c>
      <c r="CM31">
        <v>7.8390000000000004</v>
      </c>
      <c r="CN31">
        <v>906</v>
      </c>
      <c r="CO31">
        <v>345.37300000000005</v>
      </c>
      <c r="CP31">
        <v>47.988933333333335</v>
      </c>
      <c r="CQ31">
        <v>150.76176666666666</v>
      </c>
      <c r="CR31">
        <v>1.3940333333333335</v>
      </c>
      <c r="CS31">
        <v>345.37300000000005</v>
      </c>
      <c r="CT31">
        <v>5.3833333333333329</v>
      </c>
      <c r="CU31">
        <v>1293</v>
      </c>
      <c r="CW31">
        <v>83</v>
      </c>
      <c r="CX31">
        <v>4</v>
      </c>
      <c r="CY31">
        <v>16</v>
      </c>
      <c r="CZ31">
        <v>25</v>
      </c>
      <c r="DA31">
        <v>38.799999999999997</v>
      </c>
      <c r="DB31">
        <v>1</v>
      </c>
      <c r="DC31">
        <v>1</v>
      </c>
      <c r="DD31">
        <v>339.79455395320798</v>
      </c>
      <c r="DE31">
        <v>243.07664669081117</v>
      </c>
      <c r="DF31">
        <v>0.75</v>
      </c>
      <c r="DG31">
        <v>0.69</v>
      </c>
      <c r="DH31">
        <v>14.29</v>
      </c>
      <c r="DI31">
        <v>10.975</v>
      </c>
      <c r="DJ31">
        <v>6.7320000000000002</v>
      </c>
      <c r="DK31">
        <v>4.5209999999999999</v>
      </c>
      <c r="DL31">
        <v>127.3</v>
      </c>
      <c r="DM31">
        <v>12</v>
      </c>
      <c r="DN31">
        <v>45</v>
      </c>
      <c r="DO31">
        <v>39.5</v>
      </c>
      <c r="DP31">
        <v>47.1</v>
      </c>
      <c r="DQ31">
        <v>0.9</v>
      </c>
      <c r="DR31">
        <v>0.9</v>
      </c>
      <c r="DS31">
        <v>376.06191760057914</v>
      </c>
      <c r="DT31">
        <v>314.74339304151636</v>
      </c>
      <c r="DU31">
        <v>0.83</v>
      </c>
      <c r="DV31">
        <v>0.84</v>
      </c>
      <c r="DW31">
        <v>57.911999999999999</v>
      </c>
      <c r="DX31">
        <v>35.917000000000002</v>
      </c>
      <c r="DY31">
        <v>17.841999999999999</v>
      </c>
      <c r="DZ31">
        <v>11.512</v>
      </c>
      <c r="EB31">
        <v>22.88311256470422</v>
      </c>
      <c r="EC31">
        <v>4.772695851511962E-2</v>
      </c>
      <c r="ED31">
        <v>190.51353659828092</v>
      </c>
      <c r="EE31">
        <v>17.530387066532672</v>
      </c>
      <c r="EF31">
        <v>33.37056295990137</v>
      </c>
      <c r="EG31">
        <v>72.747575378417963</v>
      </c>
      <c r="EH31">
        <v>20.614120326816998</v>
      </c>
      <c r="EI31">
        <v>5.4834634457700739E-2</v>
      </c>
      <c r="EJ31">
        <v>235.93018847622261</v>
      </c>
      <c r="EK31">
        <v>16.098730825462646</v>
      </c>
      <c r="EL31">
        <v>25.182525464852972</v>
      </c>
      <c r="EM31">
        <v>67.875920104980466</v>
      </c>
      <c r="EO31">
        <v>20.720501898082766</v>
      </c>
      <c r="EP31">
        <v>2.8110684220037725E-2</v>
      </c>
      <c r="EQ31">
        <v>249.3884795447475</v>
      </c>
      <c r="ER31">
        <v>9.5088859684488707</v>
      </c>
      <c r="ES31">
        <v>27.788800343174092</v>
      </c>
      <c r="ET31">
        <v>69.783293151855474</v>
      </c>
      <c r="EU31">
        <v>14.593554644879523</v>
      </c>
      <c r="EV31">
        <v>2.7987197534288456E-2</v>
      </c>
      <c r="EW31">
        <v>277.59345427474057</v>
      </c>
      <c r="EX31">
        <v>8.1289893644983717</v>
      </c>
      <c r="EY31">
        <v>24.197021131132708</v>
      </c>
      <c r="EZ31">
        <v>67.029118347167966</v>
      </c>
      <c r="FB31">
        <v>327.47239999999999</v>
      </c>
      <c r="FC31">
        <v>201.44630000000001</v>
      </c>
      <c r="FD31">
        <v>632.86220000000003</v>
      </c>
      <c r="FE31">
        <v>6.1515000000000004</v>
      </c>
      <c r="FF31">
        <v>327.47239999999999</v>
      </c>
      <c r="FG31">
        <v>97.326999999999998</v>
      </c>
      <c r="FH31">
        <v>2953</v>
      </c>
      <c r="FI31">
        <v>810.8116</v>
      </c>
      <c r="FJ31">
        <v>102.69070000000001</v>
      </c>
      <c r="FK31">
        <v>322.61219999999997</v>
      </c>
      <c r="FL31">
        <v>1.2665</v>
      </c>
      <c r="FM31">
        <v>810.8116</v>
      </c>
      <c r="FN31">
        <v>10.215</v>
      </c>
      <c r="FO31">
        <v>3483</v>
      </c>
      <c r="FQ31">
        <v>23.9</v>
      </c>
      <c r="FR31">
        <v>1</v>
      </c>
      <c r="FS31">
        <v>232.46142871452582</v>
      </c>
      <c r="FT31">
        <v>0.81</v>
      </c>
      <c r="FU31">
        <v>29.1</v>
      </c>
      <c r="FV31">
        <v>1.3</v>
      </c>
      <c r="FW31">
        <v>361.12798194354508</v>
      </c>
      <c r="FX31">
        <v>0.81</v>
      </c>
      <c r="FY31">
        <v>22.640802966178498</v>
      </c>
      <c r="FZ31">
        <v>0.32502196847098058</v>
      </c>
      <c r="GA31">
        <v>296.4880553720235</v>
      </c>
      <c r="GB31">
        <v>12.333611072411816</v>
      </c>
      <c r="GC31">
        <v>3.7874485465958387</v>
      </c>
      <c r="GD31">
        <v>39.720523834228516</v>
      </c>
      <c r="GF31">
        <v>18.759927079331437</v>
      </c>
      <c r="GG31">
        <v>0.32325808282983715</v>
      </c>
      <c r="GH31">
        <v>320.66171249804125</v>
      </c>
      <c r="GI31">
        <v>10.427777484024153</v>
      </c>
      <c r="GJ31">
        <v>3.2251210437018236</v>
      </c>
      <c r="GK31">
        <v>37.810882568359375</v>
      </c>
      <c r="GM31">
        <v>83</v>
      </c>
      <c r="GN31">
        <v>86</v>
      </c>
      <c r="GO31">
        <v>118</v>
      </c>
      <c r="GP31">
        <v>84</v>
      </c>
      <c r="GQ31">
        <v>87</v>
      </c>
      <c r="GR31">
        <v>120</v>
      </c>
      <c r="GT31">
        <v>113</v>
      </c>
      <c r="GU31">
        <v>12</v>
      </c>
      <c r="GV31">
        <v>10</v>
      </c>
      <c r="GW31">
        <v>56.112000000000002</v>
      </c>
      <c r="GX31">
        <v>30.25</v>
      </c>
      <c r="GY31">
        <v>10.11</v>
      </c>
      <c r="GZ31">
        <v>16.11</v>
      </c>
      <c r="HB31">
        <v>106</v>
      </c>
      <c r="HC31">
        <v>5</v>
      </c>
      <c r="HD31">
        <v>4</v>
      </c>
      <c r="HE31">
        <v>35.270000000000003</v>
      </c>
      <c r="HF31">
        <v>25.15</v>
      </c>
      <c r="HG31">
        <v>10.16</v>
      </c>
      <c r="HH31">
        <v>16.05</v>
      </c>
    </row>
    <row r="32" spans="1:216" x14ac:dyDescent="0.25">
      <c r="B32" s="1" t="s">
        <v>214</v>
      </c>
      <c r="C32" s="3" t="s">
        <v>222</v>
      </c>
      <c r="D32" s="3">
        <v>2</v>
      </c>
      <c r="E32" s="6">
        <v>36.700000000000003</v>
      </c>
      <c r="F32" s="6">
        <v>0</v>
      </c>
      <c r="G32" s="6">
        <v>3</v>
      </c>
      <c r="H32" s="6">
        <v>24.8</v>
      </c>
      <c r="I32" s="6">
        <v>0.4</v>
      </c>
      <c r="J32" s="6">
        <v>10.8</v>
      </c>
      <c r="K32" s="6">
        <v>0.1</v>
      </c>
      <c r="L32">
        <v>0.189</v>
      </c>
      <c r="M32">
        <v>0.15</v>
      </c>
      <c r="N32">
        <v>9.8000000000000004E-2</v>
      </c>
      <c r="O32">
        <v>8.6999999999999994E-2</v>
      </c>
      <c r="P32">
        <v>7.6236774902289586</v>
      </c>
      <c r="Q32">
        <v>0.37911164382069462</v>
      </c>
      <c r="R32">
        <v>300.7010298124938</v>
      </c>
      <c r="S32">
        <v>7.2149508760382082</v>
      </c>
      <c r="T32">
        <v>1.9380773402867515</v>
      </c>
      <c r="U32">
        <v>28.955080032348633</v>
      </c>
      <c r="V32">
        <v>61.054099999999998</v>
      </c>
      <c r="W32">
        <v>3.1956000000000002</v>
      </c>
      <c r="X32">
        <v>10.039400000000001</v>
      </c>
      <c r="Y32">
        <v>0.52339999999999998</v>
      </c>
      <c r="Z32">
        <v>61.054099999999998</v>
      </c>
      <c r="AA32">
        <v>0.13100000000000001</v>
      </c>
      <c r="AB32">
        <v>230</v>
      </c>
      <c r="AD32" s="3" t="s">
        <v>223</v>
      </c>
      <c r="AE32" s="3">
        <v>2</v>
      </c>
      <c r="AF32">
        <v>62.4</v>
      </c>
      <c r="AG32">
        <v>4</v>
      </c>
      <c r="AH32">
        <v>1</v>
      </c>
      <c r="AI32">
        <v>39.5</v>
      </c>
      <c r="AJ32">
        <v>33.6</v>
      </c>
      <c r="AK32">
        <v>0.9</v>
      </c>
      <c r="AL32">
        <v>0.5</v>
      </c>
      <c r="AM32">
        <v>265.89999999999998</v>
      </c>
      <c r="AN32">
        <v>165.7</v>
      </c>
      <c r="AO32">
        <v>0.76</v>
      </c>
      <c r="AP32">
        <v>0.65</v>
      </c>
      <c r="AQ32">
        <v>9.8149999999999995</v>
      </c>
      <c r="AR32">
        <v>2.8759999999999999</v>
      </c>
      <c r="AS32">
        <v>7.9509999999999996</v>
      </c>
      <c r="AT32">
        <v>2.0230000000000001</v>
      </c>
      <c r="AU32">
        <v>69.7</v>
      </c>
      <c r="AV32">
        <v>6</v>
      </c>
      <c r="AW32">
        <v>17</v>
      </c>
      <c r="AX32">
        <v>46.2</v>
      </c>
      <c r="AY32">
        <v>27.6</v>
      </c>
      <c r="AZ32">
        <v>0.8</v>
      </c>
      <c r="BA32">
        <v>0.6</v>
      </c>
      <c r="BB32">
        <v>325.89999999999998</v>
      </c>
      <c r="BC32">
        <v>321.60000000000002</v>
      </c>
      <c r="BD32">
        <v>0.82</v>
      </c>
      <c r="BE32">
        <v>0.81</v>
      </c>
      <c r="BF32">
        <v>8.2899999999999991</v>
      </c>
      <c r="BG32">
        <v>4.32</v>
      </c>
      <c r="BH32">
        <v>4.3209999999999997</v>
      </c>
      <c r="BI32">
        <v>1.885</v>
      </c>
      <c r="BJ32">
        <v>17.404063847534971</v>
      </c>
      <c r="BK32">
        <v>3.013997934366569E-2</v>
      </c>
      <c r="BL32">
        <v>229.97391066544941</v>
      </c>
      <c r="BM32">
        <v>8.8159859384026245</v>
      </c>
      <c r="BN32">
        <v>26.235343258053025</v>
      </c>
      <c r="BO32">
        <v>67.942265319824216</v>
      </c>
      <c r="BP32">
        <v>3.4752467937875942</v>
      </c>
      <c r="BQ32">
        <v>3.6783740707921342E-3</v>
      </c>
      <c r="BR32">
        <v>233.48880940399772</v>
      </c>
      <c r="BS32">
        <v>1.263522620118215</v>
      </c>
      <c r="BT32">
        <v>27.879049779370014</v>
      </c>
      <c r="BU32">
        <v>69.532270812988287</v>
      </c>
      <c r="BV32">
        <v>18.047628109408691</v>
      </c>
      <c r="BW32">
        <v>6.8616362380449589E-2</v>
      </c>
      <c r="BX32">
        <v>264.08757990922527</v>
      </c>
      <c r="BY32">
        <v>16.172689733126031</v>
      </c>
      <c r="BZ32">
        <v>20.454326856999764</v>
      </c>
      <c r="CA32">
        <v>64.106522369384763</v>
      </c>
      <c r="CB32">
        <v>14.986139185832206</v>
      </c>
      <c r="CC32">
        <v>3.1969042696952436E-2</v>
      </c>
      <c r="CD32">
        <v>185.09870261084956</v>
      </c>
      <c r="CE32">
        <v>12.15046850502722</v>
      </c>
      <c r="CF32">
        <v>35.273233896839741</v>
      </c>
      <c r="CG32">
        <v>73.889050292968747</v>
      </c>
      <c r="CH32">
        <v>341.74770000000001</v>
      </c>
      <c r="CI32">
        <v>43.2455</v>
      </c>
      <c r="CJ32">
        <v>135.85990000000001</v>
      </c>
      <c r="CK32">
        <v>1.2654000000000001</v>
      </c>
      <c r="CL32">
        <v>341.74770000000001</v>
      </c>
      <c r="CM32">
        <v>4.298</v>
      </c>
      <c r="CN32">
        <v>1383</v>
      </c>
      <c r="CO32">
        <v>260.82633333333337</v>
      </c>
      <c r="CP32">
        <v>16.220000000000002</v>
      </c>
      <c r="CQ32">
        <v>50.956600000000002</v>
      </c>
      <c r="CR32">
        <v>0.66993333333333327</v>
      </c>
      <c r="CS32">
        <v>254.3425666666667</v>
      </c>
      <c r="CT32">
        <v>0.82266666666666666</v>
      </c>
      <c r="CU32">
        <v>1239.6666666666667</v>
      </c>
      <c r="CW32">
        <v>87.5</v>
      </c>
      <c r="CX32">
        <v>4</v>
      </c>
      <c r="CY32">
        <v>15</v>
      </c>
      <c r="CZ32">
        <v>29.2</v>
      </c>
      <c r="DA32">
        <v>31.5</v>
      </c>
      <c r="DB32">
        <v>0.8</v>
      </c>
      <c r="DC32">
        <v>1</v>
      </c>
      <c r="DD32">
        <v>322.65359817659578</v>
      </c>
      <c r="DE32">
        <v>232.46142871452582</v>
      </c>
      <c r="DF32">
        <v>0.76</v>
      </c>
      <c r="DG32">
        <v>0.65</v>
      </c>
      <c r="DH32">
        <v>18.614000000000001</v>
      </c>
      <c r="DI32">
        <v>13.651999999999999</v>
      </c>
      <c r="DJ32">
        <v>6.9850000000000003</v>
      </c>
      <c r="DK32">
        <v>4.0910000000000002</v>
      </c>
      <c r="DL32">
        <v>129.5</v>
      </c>
      <c r="DM32">
        <v>13</v>
      </c>
      <c r="DN32">
        <v>52</v>
      </c>
      <c r="DO32">
        <v>34.799999999999997</v>
      </c>
      <c r="DP32">
        <v>42.1</v>
      </c>
      <c r="DQ32">
        <v>0.9</v>
      </c>
      <c r="DR32">
        <v>0.9</v>
      </c>
      <c r="DS32">
        <v>373.09441039307023</v>
      </c>
      <c r="DT32">
        <v>317.91672043974671</v>
      </c>
      <c r="DU32">
        <v>0.84</v>
      </c>
      <c r="DV32">
        <v>0.81</v>
      </c>
      <c r="DW32">
        <v>63.764000000000003</v>
      </c>
      <c r="DX32">
        <v>32.451999999999998</v>
      </c>
      <c r="DY32">
        <v>16.975000000000001</v>
      </c>
      <c r="DZ32">
        <v>10.512</v>
      </c>
      <c r="EB32">
        <v>20.492858860436918</v>
      </c>
      <c r="EC32">
        <v>4.1594328090430441E-2</v>
      </c>
      <c r="ED32">
        <v>217.23280573171297</v>
      </c>
      <c r="EE32">
        <v>14.232271670858534</v>
      </c>
      <c r="EF32">
        <v>27.973072618136712</v>
      </c>
      <c r="EG32">
        <v>70.244425964355472</v>
      </c>
      <c r="EH32">
        <v>18.047628109408691</v>
      </c>
      <c r="EI32">
        <v>6.8616362380449589E-2</v>
      </c>
      <c r="EJ32">
        <v>264.08757990922527</v>
      </c>
      <c r="EK32">
        <v>16.172689733126031</v>
      </c>
      <c r="EL32">
        <v>20.454326856999764</v>
      </c>
      <c r="EM32">
        <v>64.106522369384763</v>
      </c>
      <c r="EO32">
        <v>20.87153883141195</v>
      </c>
      <c r="EP32">
        <v>2.9900109167878636E-2</v>
      </c>
      <c r="EQ32">
        <v>270.96276921388363</v>
      </c>
      <c r="ER32">
        <v>8.708448432788348</v>
      </c>
      <c r="ES32">
        <v>24.253601578490141</v>
      </c>
      <c r="ET32">
        <v>67.108467102050781</v>
      </c>
      <c r="EU32">
        <v>18.081175851498024</v>
      </c>
      <c r="EV32">
        <v>3.2396418884525512E-2</v>
      </c>
      <c r="EW32">
        <v>260.30348070477714</v>
      </c>
      <c r="EX32">
        <v>10.327785954027169</v>
      </c>
      <c r="EY32">
        <v>26.231259510747577</v>
      </c>
      <c r="EZ32">
        <v>68.712484741210943</v>
      </c>
      <c r="FB32">
        <v>483.7989</v>
      </c>
      <c r="FC32">
        <v>118.4872</v>
      </c>
      <c r="FD32">
        <v>372.23840000000001</v>
      </c>
      <c r="FE32">
        <v>2.4491000000000001</v>
      </c>
      <c r="FF32">
        <v>483.7989</v>
      </c>
      <c r="FG32">
        <v>22.791</v>
      </c>
      <c r="FH32">
        <v>2361</v>
      </c>
      <c r="FI32">
        <v>1153.1913999999999</v>
      </c>
      <c r="FJ32">
        <v>225.82810000000001</v>
      </c>
      <c r="FK32">
        <v>709.45979999999997</v>
      </c>
      <c r="FL32">
        <v>1.9582999999999999</v>
      </c>
      <c r="FM32">
        <v>1153.1913999999999</v>
      </c>
      <c r="FN32">
        <v>34.732999999999997</v>
      </c>
      <c r="FO32">
        <v>6069</v>
      </c>
      <c r="FQ32">
        <v>22.1</v>
      </c>
      <c r="FR32">
        <v>1</v>
      </c>
      <c r="FS32">
        <v>253.52188527721665</v>
      </c>
      <c r="FT32">
        <v>0.82</v>
      </c>
      <c r="FU32">
        <v>31.5</v>
      </c>
      <c r="FV32">
        <v>1.3</v>
      </c>
      <c r="FW32">
        <v>367.13073469834967</v>
      </c>
      <c r="FX32">
        <v>0.81</v>
      </c>
      <c r="FY32">
        <v>22.682775059032362</v>
      </c>
      <c r="FZ32">
        <v>0.32445142999858256</v>
      </c>
      <c r="GA32">
        <v>296.0635253193953</v>
      </c>
      <c r="GB32">
        <v>12.315233469648598</v>
      </c>
      <c r="GC32">
        <v>3.7880011891126739</v>
      </c>
      <c r="GD32">
        <v>39.720390319824219</v>
      </c>
      <c r="GF32">
        <v>18.796189983759572</v>
      </c>
      <c r="GG32">
        <v>0.32270173440698108</v>
      </c>
      <c r="GH32">
        <v>320.30960712378055</v>
      </c>
      <c r="GI32">
        <v>10.414362130100104</v>
      </c>
      <c r="GJ32">
        <v>3.2261390542172323</v>
      </c>
      <c r="GK32">
        <v>37.812232971191406</v>
      </c>
      <c r="GM32">
        <v>83</v>
      </c>
      <c r="GN32">
        <v>86</v>
      </c>
      <c r="GO32">
        <v>118</v>
      </c>
      <c r="GP32">
        <v>84</v>
      </c>
      <c r="GQ32">
        <v>87</v>
      </c>
      <c r="GR32">
        <v>120</v>
      </c>
      <c r="GT32">
        <v>105</v>
      </c>
      <c r="GU32">
        <v>15</v>
      </c>
      <c r="GV32">
        <v>8</v>
      </c>
      <c r="GW32">
        <v>55.12</v>
      </c>
      <c r="GX32">
        <v>29.87</v>
      </c>
      <c r="GY32">
        <v>9.43</v>
      </c>
      <c r="GZ32">
        <v>15.97</v>
      </c>
      <c r="HB32">
        <v>97</v>
      </c>
      <c r="HC32">
        <v>5</v>
      </c>
      <c r="HD32">
        <v>3</v>
      </c>
      <c r="HE32">
        <v>35.119999999999997</v>
      </c>
      <c r="HF32">
        <v>24.97</v>
      </c>
      <c r="HG32">
        <v>9.5399999999999991</v>
      </c>
      <c r="HH32">
        <v>15.54</v>
      </c>
    </row>
    <row r="33" spans="1:216" x14ac:dyDescent="0.25">
      <c r="B33" s="1" t="s">
        <v>214</v>
      </c>
      <c r="C33" s="3" t="s">
        <v>222</v>
      </c>
      <c r="D33" s="3">
        <v>3</v>
      </c>
      <c r="E33" s="6">
        <v>42.5</v>
      </c>
      <c r="F33" s="6">
        <v>0</v>
      </c>
      <c r="G33" s="6">
        <v>3</v>
      </c>
      <c r="H33" s="6">
        <v>28.8</v>
      </c>
      <c r="I33" s="6">
        <v>0.5</v>
      </c>
      <c r="J33" s="6">
        <v>11.4</v>
      </c>
      <c r="K33" s="6">
        <v>0.1</v>
      </c>
      <c r="L33">
        <v>0.44600000000000001</v>
      </c>
      <c r="M33">
        <v>0.23</v>
      </c>
      <c r="N33">
        <v>0.16500000000000001</v>
      </c>
      <c r="O33">
        <v>8.1000000000000003E-2</v>
      </c>
      <c r="P33">
        <v>7.4824919816752908</v>
      </c>
      <c r="Q33">
        <v>0.38084933946421129</v>
      </c>
      <c r="R33">
        <v>301.45636252540709</v>
      </c>
      <c r="S33">
        <v>7.2411509530424851</v>
      </c>
      <c r="T33">
        <v>1.9368951891416812</v>
      </c>
      <c r="U33">
        <v>28.951000213623047</v>
      </c>
      <c r="V33">
        <v>90.919200000000004</v>
      </c>
      <c r="W33">
        <v>4.1337999999999999</v>
      </c>
      <c r="X33">
        <v>12.986800000000001</v>
      </c>
      <c r="Y33">
        <v>0.45469999999999999</v>
      </c>
      <c r="Z33">
        <v>90.919200000000004</v>
      </c>
      <c r="AA33">
        <v>0.14799999999999999</v>
      </c>
      <c r="AB33">
        <v>367</v>
      </c>
      <c r="AD33" s="3" t="s">
        <v>223</v>
      </c>
      <c r="AE33" s="3">
        <v>3</v>
      </c>
      <c r="AF33">
        <v>65</v>
      </c>
      <c r="AG33">
        <v>5</v>
      </c>
      <c r="AH33">
        <v>16</v>
      </c>
      <c r="AI33">
        <v>41.2</v>
      </c>
      <c r="AJ33">
        <v>33.5</v>
      </c>
      <c r="AK33">
        <v>0.8</v>
      </c>
      <c r="AL33">
        <v>0.4</v>
      </c>
      <c r="AM33">
        <v>249.2</v>
      </c>
      <c r="AN33">
        <v>143.80000000000001</v>
      </c>
      <c r="AO33">
        <v>0.79</v>
      </c>
      <c r="AP33">
        <v>0.64</v>
      </c>
      <c r="AQ33">
        <v>11.243</v>
      </c>
      <c r="AR33">
        <v>3.512</v>
      </c>
      <c r="AS33">
        <v>7.3419999999999996</v>
      </c>
      <c r="AT33">
        <v>2.0760000000000001</v>
      </c>
      <c r="AU33">
        <v>47.5</v>
      </c>
      <c r="AV33">
        <v>14</v>
      </c>
      <c r="AW33">
        <v>40</v>
      </c>
      <c r="AX33">
        <v>32.5</v>
      </c>
      <c r="AY33">
        <v>23.5</v>
      </c>
      <c r="AZ33">
        <v>0.9</v>
      </c>
      <c r="BA33">
        <v>0.7</v>
      </c>
      <c r="BB33">
        <v>329.1</v>
      </c>
      <c r="BC33">
        <v>317.5</v>
      </c>
      <c r="BD33">
        <v>0.81</v>
      </c>
      <c r="BE33">
        <v>0.83</v>
      </c>
      <c r="BF33">
        <v>18.760000000000002</v>
      </c>
      <c r="BG33">
        <v>8.9760000000000009</v>
      </c>
      <c r="BH33">
        <v>5.62</v>
      </c>
      <c r="BI33">
        <v>2.0569999999999999</v>
      </c>
      <c r="BJ33">
        <v>22.977619605536109</v>
      </c>
      <c r="BK33">
        <v>1.4523702915656569E-2</v>
      </c>
      <c r="BL33">
        <v>58.920520397809923</v>
      </c>
      <c r="BM33">
        <v>12.610832841578766</v>
      </c>
      <c r="BN33">
        <v>59.269906681634666</v>
      </c>
      <c r="BO33">
        <v>86.407896423339849</v>
      </c>
      <c r="BP33">
        <v>2.6195228835202</v>
      </c>
      <c r="BQ33">
        <v>3.8436295135875023E-3</v>
      </c>
      <c r="BR33">
        <v>255.98063989758072</v>
      </c>
      <c r="BS33">
        <v>1.1169434972007566</v>
      </c>
      <c r="BT33">
        <v>24.105410136999701</v>
      </c>
      <c r="BU33">
        <v>66.586766052246091</v>
      </c>
      <c r="BV33">
        <v>22.327649768723681</v>
      </c>
      <c r="BW33">
        <v>3.1326718950295672E-2</v>
      </c>
      <c r="BX33">
        <v>137.34617513536398</v>
      </c>
      <c r="BY33">
        <v>15.963296434449678</v>
      </c>
      <c r="BZ33">
        <v>43.496715433525125</v>
      </c>
      <c r="CA33">
        <v>78.784423828125</v>
      </c>
      <c r="CB33">
        <v>19.831417350240837</v>
      </c>
      <c r="CC33">
        <v>2.6844799947899557E-2</v>
      </c>
      <c r="CD33">
        <v>158.21308871886308</v>
      </c>
      <c r="CE33">
        <v>12.581010039144362</v>
      </c>
      <c r="CF33">
        <v>39.569260918761387</v>
      </c>
      <c r="CG33">
        <v>76.821795654296878</v>
      </c>
      <c r="CH33">
        <v>357.50069999999999</v>
      </c>
      <c r="CI33">
        <v>42.7378</v>
      </c>
      <c r="CJ33">
        <v>134.2647</v>
      </c>
      <c r="CK33">
        <v>1.1955</v>
      </c>
      <c r="CL33">
        <v>357.50069999999999</v>
      </c>
      <c r="CM33">
        <v>4.0129999999999999</v>
      </c>
      <c r="CN33">
        <v>1590</v>
      </c>
      <c r="CW33">
        <v>89.6</v>
      </c>
      <c r="CX33">
        <v>4</v>
      </c>
      <c r="CY33">
        <v>15</v>
      </c>
      <c r="CZ33">
        <v>30.1</v>
      </c>
      <c r="DA33">
        <v>39.200000000000003</v>
      </c>
      <c r="DB33">
        <v>0.8</v>
      </c>
      <c r="DC33">
        <v>1</v>
      </c>
      <c r="DD33">
        <v>316.33161421276441</v>
      </c>
      <c r="DE33">
        <v>236.01943379824945</v>
      </c>
      <c r="DF33">
        <v>0.79</v>
      </c>
      <c r="DG33">
        <v>0.64</v>
      </c>
      <c r="DH33">
        <v>18.417000000000002</v>
      </c>
      <c r="DI33">
        <v>12.984999999999999</v>
      </c>
      <c r="DJ33">
        <v>6.992</v>
      </c>
      <c r="DK33">
        <v>4.0910000000000002</v>
      </c>
      <c r="DL33">
        <v>125.6</v>
      </c>
      <c r="DM33">
        <v>9</v>
      </c>
      <c r="DN33">
        <v>31</v>
      </c>
      <c r="DO33">
        <v>44.3</v>
      </c>
      <c r="DP33">
        <v>43.5</v>
      </c>
      <c r="DQ33">
        <v>0.9</v>
      </c>
      <c r="DR33">
        <v>0.9</v>
      </c>
      <c r="DS33">
        <v>379.02003750596458</v>
      </c>
      <c r="DT33">
        <v>322.65359817659578</v>
      </c>
      <c r="DU33">
        <v>0.81</v>
      </c>
      <c r="DV33">
        <v>0.83</v>
      </c>
      <c r="DW33">
        <v>59.316000000000003</v>
      </c>
      <c r="DX33">
        <v>32.415999999999997</v>
      </c>
      <c r="DY33">
        <v>16.914999999999999</v>
      </c>
      <c r="DZ33">
        <v>9.3420000000000005</v>
      </c>
      <c r="EB33">
        <v>22.327649768723681</v>
      </c>
      <c r="EC33">
        <v>3.1326718950295672E-2</v>
      </c>
      <c r="ED33">
        <v>137.34617513536398</v>
      </c>
      <c r="EE33">
        <v>15.963296434449678</v>
      </c>
      <c r="EF33">
        <v>43.496715433525125</v>
      </c>
      <c r="EG33">
        <v>78.784423828125</v>
      </c>
      <c r="EH33">
        <v>19.831417350240837</v>
      </c>
      <c r="EI33">
        <v>2.6844799947899557E-2</v>
      </c>
      <c r="EJ33">
        <v>158.21308871886308</v>
      </c>
      <c r="EK33">
        <v>12.581010039144362</v>
      </c>
      <c r="EL33">
        <v>39.569260918761387</v>
      </c>
      <c r="EM33">
        <v>76.821795654296878</v>
      </c>
      <c r="EO33">
        <v>29.881184817152967</v>
      </c>
      <c r="EP33">
        <v>2.8150208972712559E-2</v>
      </c>
      <c r="EQ33">
        <v>212.94246464811869</v>
      </c>
      <c r="ER33">
        <v>11.454453845140023</v>
      </c>
      <c r="ES33">
        <v>32.36238724385445</v>
      </c>
      <c r="ET33">
        <v>73.023388671874997</v>
      </c>
      <c r="EU33">
        <v>14.613979117624861</v>
      </c>
      <c r="EV33">
        <v>2.0486241483937007E-2</v>
      </c>
      <c r="EW33">
        <v>261.42000095463982</v>
      </c>
      <c r="EX33">
        <v>6.6039563561724766</v>
      </c>
      <c r="EY33">
        <v>26.469053233196398</v>
      </c>
      <c r="EZ33">
        <v>68.778695678710932</v>
      </c>
      <c r="FB33">
        <v>484.48989999999998</v>
      </c>
      <c r="FC33">
        <v>123.5575</v>
      </c>
      <c r="FD33">
        <v>388.16730000000001</v>
      </c>
      <c r="FE33">
        <v>2.5503</v>
      </c>
      <c r="FF33">
        <v>484.48989999999998</v>
      </c>
      <c r="FG33">
        <v>24.748000000000001</v>
      </c>
      <c r="FH33">
        <v>3525</v>
      </c>
      <c r="FI33">
        <v>1666.9074000000001</v>
      </c>
      <c r="FJ33">
        <v>211.12700000000001</v>
      </c>
      <c r="FK33">
        <v>663.27520000000004</v>
      </c>
      <c r="FL33">
        <v>1.2665999999999999</v>
      </c>
      <c r="FM33">
        <v>1666.9074000000001</v>
      </c>
      <c r="FN33">
        <v>21.001999999999999</v>
      </c>
      <c r="FO33">
        <v>5821</v>
      </c>
      <c r="FQ33">
        <v>21.6</v>
      </c>
      <c r="FR33">
        <v>1</v>
      </c>
      <c r="FS33">
        <v>258.68415098065896</v>
      </c>
      <c r="FT33">
        <v>0.82</v>
      </c>
      <c r="FU33">
        <v>33.1</v>
      </c>
      <c r="FV33">
        <v>1.3</v>
      </c>
      <c r="FW33">
        <v>364.13430914210937</v>
      </c>
      <c r="FX33">
        <v>0.81</v>
      </c>
      <c r="FY33">
        <v>22.663426518714342</v>
      </c>
      <c r="FZ33">
        <v>0.32389700046258152</v>
      </c>
      <c r="GA33">
        <v>295.98233824330003</v>
      </c>
      <c r="GB33">
        <v>12.301459470885344</v>
      </c>
      <c r="GC33">
        <v>3.7897733922330077</v>
      </c>
      <c r="GD33">
        <v>39.723846435546875</v>
      </c>
      <c r="GF33">
        <v>18.819446348880046</v>
      </c>
      <c r="GG33">
        <v>0.32234787499087619</v>
      </c>
      <c r="GH33">
        <v>320.11146514913736</v>
      </c>
      <c r="GI33">
        <v>10.404531686071007</v>
      </c>
      <c r="GJ33">
        <v>3.2264086788352322</v>
      </c>
      <c r="GK33">
        <v>37.811695098876953</v>
      </c>
      <c r="GM33">
        <v>83</v>
      </c>
      <c r="GN33">
        <v>86</v>
      </c>
      <c r="GO33">
        <v>118</v>
      </c>
      <c r="GP33">
        <v>84</v>
      </c>
      <c r="GQ33">
        <v>87</v>
      </c>
      <c r="GR33">
        <v>120</v>
      </c>
      <c r="GT33">
        <v>119</v>
      </c>
      <c r="GU33">
        <v>15</v>
      </c>
      <c r="GV33">
        <v>10</v>
      </c>
      <c r="GW33">
        <v>56.97</v>
      </c>
      <c r="GX33">
        <v>29.67</v>
      </c>
      <c r="GY33">
        <v>9.57</v>
      </c>
      <c r="GZ33">
        <v>15.12</v>
      </c>
      <c r="HB33">
        <v>113</v>
      </c>
      <c r="HC33">
        <v>8</v>
      </c>
      <c r="HD33">
        <v>5</v>
      </c>
      <c r="HE33">
        <v>36.54</v>
      </c>
      <c r="HF33">
        <v>25.35</v>
      </c>
      <c r="HG33">
        <v>10.17</v>
      </c>
      <c r="HH33">
        <v>16.190000000000001</v>
      </c>
    </row>
    <row r="34" spans="1:216" x14ac:dyDescent="0.25">
      <c r="A34" t="s">
        <v>203</v>
      </c>
      <c r="B34" s="1" t="s">
        <v>215</v>
      </c>
      <c r="C34" s="3" t="s">
        <v>222</v>
      </c>
      <c r="D34" s="3">
        <v>1</v>
      </c>
      <c r="E34" s="6">
        <v>45.6</v>
      </c>
      <c r="F34" s="6">
        <v>0</v>
      </c>
      <c r="G34" s="6">
        <v>3</v>
      </c>
      <c r="H34" s="6">
        <v>27.5</v>
      </c>
      <c r="I34" s="6">
        <v>0.4</v>
      </c>
      <c r="J34" s="6">
        <v>15.6</v>
      </c>
      <c r="K34" s="6">
        <v>0.2</v>
      </c>
      <c r="L34">
        <v>0.36699999999999999</v>
      </c>
      <c r="M34">
        <v>0.215</v>
      </c>
      <c r="N34">
        <v>0.115</v>
      </c>
      <c r="O34">
        <v>9.9000000000000005E-2</v>
      </c>
      <c r="P34">
        <v>5.8040374677660331</v>
      </c>
      <c r="Q34">
        <v>5.7201228205479293E-2</v>
      </c>
      <c r="R34">
        <v>170.18944146157901</v>
      </c>
      <c r="S34">
        <v>1.4118412112152026</v>
      </c>
      <c r="T34">
        <v>2.3589840408799017</v>
      </c>
      <c r="U34">
        <v>29.722293853759766</v>
      </c>
      <c r="V34">
        <v>351.4128</v>
      </c>
      <c r="W34">
        <v>13.0846</v>
      </c>
      <c r="X34">
        <v>41.1066</v>
      </c>
      <c r="Y34">
        <v>0.37230000000000002</v>
      </c>
      <c r="Z34">
        <v>351.4128</v>
      </c>
      <c r="AA34">
        <v>0.38300000000000001</v>
      </c>
      <c r="AB34">
        <v>1718</v>
      </c>
      <c r="AC34" s="1" t="s">
        <v>215</v>
      </c>
      <c r="AD34" s="3" t="s">
        <v>223</v>
      </c>
      <c r="AE34" s="3">
        <v>1</v>
      </c>
      <c r="AF34">
        <v>57.6</v>
      </c>
      <c r="AG34">
        <v>3</v>
      </c>
      <c r="AH34">
        <v>8</v>
      </c>
      <c r="AI34">
        <v>39.299999999999997</v>
      </c>
      <c r="AJ34">
        <v>37.700000000000003</v>
      </c>
      <c r="AK34">
        <v>0.9</v>
      </c>
      <c r="AL34">
        <v>0.4</v>
      </c>
      <c r="AM34">
        <v>308.3</v>
      </c>
      <c r="AN34">
        <v>165.7</v>
      </c>
      <c r="AO34">
        <v>0.76</v>
      </c>
      <c r="AP34">
        <v>0.67</v>
      </c>
      <c r="AQ34">
        <v>3.4710000000000001</v>
      </c>
      <c r="AR34">
        <v>1.0920000000000001</v>
      </c>
      <c r="AS34">
        <v>2.8940000000000001</v>
      </c>
      <c r="AT34">
        <v>9.9000000000000005E-2</v>
      </c>
      <c r="AU34">
        <v>71.099999999999994</v>
      </c>
      <c r="AV34">
        <v>7</v>
      </c>
      <c r="AW34">
        <v>20</v>
      </c>
      <c r="AX34">
        <v>50.3</v>
      </c>
      <c r="AY34">
        <v>36.9</v>
      </c>
      <c r="AZ34">
        <v>1</v>
      </c>
      <c r="BA34">
        <v>1</v>
      </c>
      <c r="BB34">
        <v>296.5</v>
      </c>
      <c r="BC34">
        <v>251.7</v>
      </c>
      <c r="BD34">
        <v>0.83</v>
      </c>
      <c r="BE34">
        <v>0.84</v>
      </c>
      <c r="BF34">
        <v>9.7940000000000005</v>
      </c>
      <c r="BG34">
        <v>4.3559999999999999</v>
      </c>
      <c r="BH34">
        <v>3.8460000000000001</v>
      </c>
      <c r="BI34">
        <v>1.0920000000000001</v>
      </c>
      <c r="BJ34">
        <v>22.594487067121054</v>
      </c>
      <c r="BK34">
        <v>4.3225186150017691E-2</v>
      </c>
      <c r="BL34">
        <v>197.27612810672431</v>
      </c>
      <c r="BM34">
        <v>14.216413903039427</v>
      </c>
      <c r="BN34">
        <v>31.703442059377199</v>
      </c>
      <c r="BO34">
        <v>71.056982421875006</v>
      </c>
      <c r="BP34">
        <v>14.345627813901649</v>
      </c>
      <c r="BQ34">
        <v>1.4390605491030977E-2</v>
      </c>
      <c r="BR34">
        <v>90.039645160003971</v>
      </c>
      <c r="BS34">
        <v>8.7994593133340846</v>
      </c>
      <c r="BT34">
        <v>54.270389433838133</v>
      </c>
      <c r="BU34">
        <v>82.879954528808597</v>
      </c>
      <c r="BV34">
        <v>21.39887411744817</v>
      </c>
      <c r="BW34">
        <v>5.9417294328327375E-2</v>
      </c>
      <c r="BX34">
        <v>248.50818428600803</v>
      </c>
      <c r="BY34">
        <v>16.037149988684622</v>
      </c>
      <c r="BZ34">
        <v>22.609019379401698</v>
      </c>
      <c r="CA34">
        <v>66.035604858398429</v>
      </c>
      <c r="CB34">
        <v>14.316099244994479</v>
      </c>
      <c r="CC34">
        <v>3.5662593023687773E-2</v>
      </c>
      <c r="CD34">
        <v>242.3504667208469</v>
      </c>
      <c r="CE34">
        <v>10.716739462771725</v>
      </c>
      <c r="CF34">
        <v>25.159853566290817</v>
      </c>
      <c r="CG34">
        <v>67.705082702636716</v>
      </c>
      <c r="CH34">
        <v>263.9153</v>
      </c>
      <c r="CI34">
        <v>28.1858</v>
      </c>
      <c r="CJ34">
        <v>88.548400000000001</v>
      </c>
      <c r="CK34">
        <v>1.0680000000000001</v>
      </c>
      <c r="CL34">
        <v>263.9153</v>
      </c>
      <c r="CM34">
        <v>2.3639999999999999</v>
      </c>
      <c r="CN34">
        <v>857</v>
      </c>
      <c r="CO34">
        <v>269.6044</v>
      </c>
      <c r="CP34">
        <v>31.776900000000001</v>
      </c>
      <c r="CQ34">
        <v>99.830100000000002</v>
      </c>
      <c r="CR34">
        <v>1.1830000000000001</v>
      </c>
      <c r="CS34">
        <v>269.6044</v>
      </c>
      <c r="CT34">
        <v>3.1826666666666665</v>
      </c>
      <c r="CU34">
        <v>904.33333333333337</v>
      </c>
      <c r="CW34">
        <v>81.5</v>
      </c>
      <c r="CX34">
        <v>7</v>
      </c>
      <c r="CY34">
        <v>23</v>
      </c>
      <c r="CZ34">
        <v>26.9</v>
      </c>
      <c r="DA34">
        <v>30.9</v>
      </c>
      <c r="DB34">
        <v>0.9</v>
      </c>
      <c r="DC34">
        <v>0.9</v>
      </c>
      <c r="DD34">
        <v>355.0850737644667</v>
      </c>
      <c r="DE34">
        <v>255.24700111142118</v>
      </c>
      <c r="DF34">
        <v>0.76</v>
      </c>
      <c r="DG34">
        <v>0.67</v>
      </c>
      <c r="DH34">
        <v>17.541</v>
      </c>
      <c r="DI34">
        <v>12.516999999999999</v>
      </c>
      <c r="DJ34">
        <v>5.9870000000000001</v>
      </c>
      <c r="DK34">
        <v>4.1120000000000001</v>
      </c>
      <c r="DL34">
        <v>80.099999999999994</v>
      </c>
      <c r="DM34">
        <v>17</v>
      </c>
      <c r="DN34">
        <v>65</v>
      </c>
      <c r="DO34">
        <v>34.799999999999997</v>
      </c>
      <c r="DP34">
        <v>43.7</v>
      </c>
      <c r="DQ34">
        <v>1.1000000000000001</v>
      </c>
      <c r="DR34">
        <v>1.1000000000000001</v>
      </c>
      <c r="DS34">
        <v>345.94292873858831</v>
      </c>
      <c r="DT34">
        <v>300.30491339493415</v>
      </c>
      <c r="DU34">
        <v>0.83</v>
      </c>
      <c r="DV34">
        <v>0.84</v>
      </c>
      <c r="DW34">
        <v>25.161999999999999</v>
      </c>
      <c r="DX34">
        <v>16.742000000000001</v>
      </c>
      <c r="DY34">
        <v>9.6210000000000004</v>
      </c>
      <c r="DZ34">
        <v>6.7320000000000002</v>
      </c>
      <c r="EB34">
        <v>21.398874117448166</v>
      </c>
      <c r="EC34">
        <v>5.9417294328327375E-2</v>
      </c>
      <c r="ED34">
        <v>248.50818428600806</v>
      </c>
      <c r="EE34">
        <v>16.037149988684618</v>
      </c>
      <c r="EF34">
        <v>22.609019379401694</v>
      </c>
      <c r="EG34">
        <v>66.035604858398443</v>
      </c>
      <c r="EH34">
        <v>14.316099244994479</v>
      </c>
      <c r="EI34">
        <v>3.5662593023687773E-2</v>
      </c>
      <c r="EJ34">
        <v>242.3504667208469</v>
      </c>
      <c r="EK34">
        <v>10.716739462771725</v>
      </c>
      <c r="EL34">
        <v>25.159853566290817</v>
      </c>
      <c r="EM34">
        <v>67.705082702636716</v>
      </c>
      <c r="EO34">
        <v>26.159575549977831</v>
      </c>
      <c r="EP34">
        <v>1.524417586121157E-2</v>
      </c>
      <c r="EQ34">
        <v>123.78431161221454</v>
      </c>
      <c r="ER34">
        <v>10.480642674954151</v>
      </c>
      <c r="ES34">
        <v>48.578583066855394</v>
      </c>
      <c r="ET34">
        <v>82.015579223632813</v>
      </c>
      <c r="EU34">
        <v>19.068846981314334</v>
      </c>
      <c r="EV34">
        <v>3.3910690644182818E-2</v>
      </c>
      <c r="EW34">
        <v>276.35164359485498</v>
      </c>
      <c r="EX34">
        <v>9.6103165300994213</v>
      </c>
      <c r="EY34">
        <v>23.6830624740541</v>
      </c>
      <c r="EZ34">
        <v>66.714686584472659</v>
      </c>
      <c r="FB34">
        <v>188.239</v>
      </c>
      <c r="FC34">
        <v>90.411500000000004</v>
      </c>
      <c r="FD34">
        <v>284.036</v>
      </c>
      <c r="FE34">
        <v>4.8029999999999999</v>
      </c>
      <c r="FF34">
        <v>188.239</v>
      </c>
      <c r="FG34">
        <v>34.106000000000002</v>
      </c>
      <c r="FH34">
        <v>1700</v>
      </c>
      <c r="FI34">
        <v>1056.6403</v>
      </c>
      <c r="FJ34">
        <v>162.12979999999999</v>
      </c>
      <c r="FK34">
        <v>509.34570000000002</v>
      </c>
      <c r="FL34">
        <v>1.5344</v>
      </c>
      <c r="FM34">
        <v>1056.6403</v>
      </c>
      <c r="FN34">
        <v>19.538</v>
      </c>
      <c r="FO34">
        <v>3920</v>
      </c>
      <c r="FQ34">
        <v>12.6</v>
      </c>
      <c r="FR34">
        <v>0.9</v>
      </c>
      <c r="FS34">
        <v>297.05983540153409</v>
      </c>
      <c r="FT34">
        <v>0.82</v>
      </c>
      <c r="FU34">
        <v>27.1</v>
      </c>
      <c r="FV34">
        <v>1.2</v>
      </c>
      <c r="FW34">
        <v>371.60709787775426</v>
      </c>
      <c r="FX34">
        <v>0.82</v>
      </c>
      <c r="FY34">
        <v>32.92285520515393</v>
      </c>
      <c r="FZ34">
        <v>0.62585618083503747</v>
      </c>
      <c r="GA34">
        <v>314.07312692583247</v>
      </c>
      <c r="GB34">
        <v>18.605848105898101</v>
      </c>
      <c r="GC34">
        <v>3.1693998328331547</v>
      </c>
      <c r="GD34">
        <v>39.222873687744141</v>
      </c>
      <c r="GF34">
        <v>17.575905021430852</v>
      </c>
      <c r="GG34">
        <v>0.3269800652584004</v>
      </c>
      <c r="GH34">
        <v>328.08034023826804</v>
      </c>
      <c r="GI34">
        <v>10.494854395506454</v>
      </c>
      <c r="GJ34">
        <v>3.2111517187878049</v>
      </c>
      <c r="GK34">
        <v>37.813949584960938</v>
      </c>
      <c r="GM34">
        <v>73</v>
      </c>
      <c r="GN34">
        <v>78</v>
      </c>
      <c r="GO34">
        <v>107</v>
      </c>
      <c r="GP34">
        <v>78</v>
      </c>
      <c r="GQ34">
        <v>83</v>
      </c>
      <c r="GR34">
        <v>116</v>
      </c>
      <c r="GT34">
        <v>95</v>
      </c>
      <c r="GU34">
        <v>21</v>
      </c>
      <c r="GV34">
        <v>13</v>
      </c>
      <c r="GW34">
        <v>65.48</v>
      </c>
      <c r="GX34">
        <v>33.22</v>
      </c>
      <c r="GY34">
        <v>16.11</v>
      </c>
      <c r="GZ34">
        <v>17.64</v>
      </c>
      <c r="HB34">
        <v>86</v>
      </c>
      <c r="HC34">
        <v>8</v>
      </c>
      <c r="HD34">
        <v>7</v>
      </c>
      <c r="HE34">
        <v>38.57</v>
      </c>
      <c r="HF34">
        <v>26.47</v>
      </c>
      <c r="HG34">
        <v>11.6</v>
      </c>
      <c r="HH34">
        <v>14.7</v>
      </c>
    </row>
    <row r="35" spans="1:216" x14ac:dyDescent="0.25">
      <c r="B35" s="1" t="s">
        <v>215</v>
      </c>
      <c r="C35" s="3" t="s">
        <v>222</v>
      </c>
      <c r="D35" s="3">
        <v>2</v>
      </c>
      <c r="E35" s="6">
        <v>44.8</v>
      </c>
      <c r="F35" s="6">
        <v>0</v>
      </c>
      <c r="G35" s="6">
        <v>3</v>
      </c>
      <c r="H35" s="6">
        <v>27.4</v>
      </c>
      <c r="I35" s="6">
        <v>0.6</v>
      </c>
      <c r="J35" s="6">
        <v>16.7</v>
      </c>
      <c r="K35" s="6">
        <v>0.15</v>
      </c>
      <c r="L35">
        <v>0.39400000000000002</v>
      </c>
      <c r="M35">
        <v>0.215</v>
      </c>
      <c r="N35">
        <v>0.129</v>
      </c>
      <c r="O35">
        <v>0.10100000000000001</v>
      </c>
      <c r="P35">
        <v>5.1754677090793377</v>
      </c>
      <c r="Q35">
        <v>2.6028859511657919E-2</v>
      </c>
      <c r="R35">
        <v>17.624766464214041</v>
      </c>
      <c r="S35">
        <v>0.67508112636048745</v>
      </c>
      <c r="T35">
        <v>2.462178854552616</v>
      </c>
      <c r="U35">
        <v>30.013750076293945</v>
      </c>
      <c r="V35">
        <v>362.55070000000001</v>
      </c>
      <c r="W35">
        <v>14.828900000000001</v>
      </c>
      <c r="X35">
        <v>46.586300000000001</v>
      </c>
      <c r="Y35">
        <v>0.40899999999999997</v>
      </c>
      <c r="Z35">
        <v>362.55070000000001</v>
      </c>
      <c r="AA35">
        <v>0.47599999999999998</v>
      </c>
      <c r="AB35">
        <v>1678</v>
      </c>
      <c r="AD35" s="3" t="s">
        <v>223</v>
      </c>
      <c r="AE35" s="3">
        <v>2</v>
      </c>
      <c r="AF35">
        <v>67.2</v>
      </c>
      <c r="AG35">
        <v>2</v>
      </c>
      <c r="AH35">
        <v>6</v>
      </c>
      <c r="AI35">
        <v>45.7</v>
      </c>
      <c r="AJ35">
        <v>36.1</v>
      </c>
      <c r="AK35">
        <v>0.85</v>
      </c>
      <c r="AL35">
        <v>0.8</v>
      </c>
      <c r="AM35">
        <v>276.39999999999998</v>
      </c>
      <c r="AN35">
        <v>137.80000000000001</v>
      </c>
      <c r="AO35">
        <v>0.73</v>
      </c>
      <c r="AP35">
        <v>0.62</v>
      </c>
      <c r="AQ35">
        <v>2.984</v>
      </c>
      <c r="AR35">
        <v>1.0669999999999999</v>
      </c>
      <c r="AS35">
        <v>2.6509999999999998</v>
      </c>
      <c r="AT35">
        <v>1.0549999999999999</v>
      </c>
      <c r="AU35">
        <v>67.099999999999994</v>
      </c>
      <c r="AV35">
        <v>10</v>
      </c>
      <c r="AW35">
        <v>39</v>
      </c>
      <c r="AX35">
        <v>46.3</v>
      </c>
      <c r="AY35">
        <v>33.4</v>
      </c>
      <c r="AZ35">
        <v>1.2</v>
      </c>
      <c r="BA35">
        <v>1</v>
      </c>
      <c r="BB35">
        <v>320.7</v>
      </c>
      <c r="BC35">
        <v>217.6</v>
      </c>
      <c r="BD35">
        <v>0.81</v>
      </c>
      <c r="BE35">
        <v>0.85</v>
      </c>
      <c r="BF35">
        <v>12.97</v>
      </c>
      <c r="BG35">
        <v>5.7889999999999997</v>
      </c>
      <c r="BH35">
        <v>4.9459999999999997</v>
      </c>
      <c r="BI35">
        <v>2.0870000000000002</v>
      </c>
      <c r="BJ35">
        <v>18.933655516758741</v>
      </c>
      <c r="BK35">
        <v>4.2531703347856956E-2</v>
      </c>
      <c r="BL35">
        <v>244.38634927467942</v>
      </c>
      <c r="BM35">
        <v>11.53610371760452</v>
      </c>
      <c r="BN35">
        <v>22.732553219196564</v>
      </c>
      <c r="BO35">
        <v>65.926701354980466</v>
      </c>
      <c r="BP35">
        <v>7.3512216735492304</v>
      </c>
      <c r="BQ35">
        <v>1.4260947205373933E-2</v>
      </c>
      <c r="BR35">
        <v>246.18798674123482</v>
      </c>
      <c r="BS35">
        <v>4.2340247818098149</v>
      </c>
      <c r="BT35">
        <v>24.567800518771758</v>
      </c>
      <c r="BU35">
        <v>67.115802001953128</v>
      </c>
      <c r="BV35">
        <v>25.034759782225741</v>
      </c>
      <c r="BW35">
        <v>3.5732967049628493E-2</v>
      </c>
      <c r="BX35">
        <v>123.36943367414374</v>
      </c>
      <c r="BY35">
        <v>19.610364515898944</v>
      </c>
      <c r="BZ35">
        <v>45.712804362712532</v>
      </c>
      <c r="CA35">
        <v>80.035415649414063</v>
      </c>
      <c r="CB35">
        <v>23.987351511680238</v>
      </c>
      <c r="CC35">
        <v>2.4985468200426658E-2</v>
      </c>
      <c r="CD35">
        <v>110.42660568556012</v>
      </c>
      <c r="CE35">
        <v>17.123527448733146</v>
      </c>
      <c r="CF35">
        <v>48.117705999901418</v>
      </c>
      <c r="CG35">
        <v>81.909960937500003</v>
      </c>
      <c r="CH35">
        <v>278.0498</v>
      </c>
      <c r="CI35">
        <v>23.352799999999998</v>
      </c>
      <c r="CJ35">
        <v>73.365099999999998</v>
      </c>
      <c r="CK35">
        <v>0.83989999999999998</v>
      </c>
      <c r="CL35">
        <v>278.0498</v>
      </c>
      <c r="CM35">
        <v>1.54</v>
      </c>
      <c r="CN35">
        <v>1104</v>
      </c>
      <c r="CO35">
        <v>169.27366666666668</v>
      </c>
      <c r="CP35">
        <v>17.409533333333332</v>
      </c>
      <c r="CQ35">
        <v>54.693766666666669</v>
      </c>
      <c r="CR35">
        <v>0.59973333333333334</v>
      </c>
      <c r="CS35">
        <v>291.25623333333334</v>
      </c>
      <c r="CT35">
        <v>0.82</v>
      </c>
      <c r="CU35">
        <v>1310.3333333333333</v>
      </c>
      <c r="CW35">
        <v>80.3</v>
      </c>
      <c r="CX35">
        <v>6</v>
      </c>
      <c r="CY35">
        <v>20</v>
      </c>
      <c r="CZ35">
        <v>34</v>
      </c>
      <c r="DA35">
        <v>34.200000000000003</v>
      </c>
      <c r="DB35">
        <v>0.9</v>
      </c>
      <c r="DC35">
        <v>0.9</v>
      </c>
      <c r="DD35">
        <v>349.00087837415651</v>
      </c>
      <c r="DE35">
        <v>243.07664669081117</v>
      </c>
      <c r="DF35">
        <v>0.73</v>
      </c>
      <c r="DG35">
        <v>0.68</v>
      </c>
      <c r="DH35">
        <v>17.693999999999999</v>
      </c>
      <c r="DI35">
        <v>11.617000000000001</v>
      </c>
      <c r="DJ35">
        <v>6.1120000000000001</v>
      </c>
      <c r="DK35">
        <v>4.9509999999999996</v>
      </c>
      <c r="DL35">
        <v>90.6</v>
      </c>
      <c r="DM35">
        <v>13</v>
      </c>
      <c r="DN35">
        <v>49</v>
      </c>
      <c r="DO35">
        <v>36.6</v>
      </c>
      <c r="DP35">
        <v>41.8</v>
      </c>
      <c r="DQ35">
        <v>1.1000000000000001</v>
      </c>
      <c r="DR35">
        <v>1.1000000000000001</v>
      </c>
      <c r="DS35">
        <v>344.40992406449317</v>
      </c>
      <c r="DT35">
        <v>306.75466080814965</v>
      </c>
      <c r="DU35">
        <v>0.84</v>
      </c>
      <c r="DV35">
        <v>0.83</v>
      </c>
      <c r="DW35">
        <v>28.762</v>
      </c>
      <c r="DX35">
        <v>19.515000000000001</v>
      </c>
      <c r="DY35">
        <v>10.862</v>
      </c>
      <c r="DZ35">
        <v>5.851</v>
      </c>
      <c r="EB35">
        <v>25.034759782225741</v>
      </c>
      <c r="EC35">
        <v>3.5732967049628493E-2</v>
      </c>
      <c r="ED35">
        <v>123.36943367414374</v>
      </c>
      <c r="EE35">
        <v>19.610364515898944</v>
      </c>
      <c r="EF35">
        <v>45.712804362712532</v>
      </c>
      <c r="EG35">
        <v>80.035415649414063</v>
      </c>
      <c r="EH35">
        <v>23.987351511680238</v>
      </c>
      <c r="EI35">
        <v>2.4985468200426658E-2</v>
      </c>
      <c r="EJ35">
        <v>110.42660568556012</v>
      </c>
      <c r="EK35">
        <v>17.123527448733146</v>
      </c>
      <c r="EL35">
        <v>48.117705999901418</v>
      </c>
      <c r="EM35">
        <v>81.909960937500003</v>
      </c>
      <c r="EO35">
        <v>28.259242857845891</v>
      </c>
      <c r="EP35">
        <v>4.3185623599268613E-2</v>
      </c>
      <c r="EQ35">
        <v>258.44424770014746</v>
      </c>
      <c r="ER35">
        <v>12.894828748230548</v>
      </c>
      <c r="ES35">
        <v>24.998870113256267</v>
      </c>
      <c r="ET35">
        <v>67.846391296386713</v>
      </c>
      <c r="EU35">
        <v>11.398688740986783</v>
      </c>
      <c r="EV35">
        <v>2.4875057667629392E-2</v>
      </c>
      <c r="EW35">
        <v>281.26848157465082</v>
      </c>
      <c r="EX35">
        <v>7.1890830835975779</v>
      </c>
      <c r="EY35">
        <v>24.080858529591993</v>
      </c>
      <c r="EZ35">
        <v>66.934173583984375</v>
      </c>
      <c r="FB35">
        <v>391.55950000000001</v>
      </c>
      <c r="FC35">
        <v>60.977800000000002</v>
      </c>
      <c r="FD35">
        <v>191.56739999999999</v>
      </c>
      <c r="FE35">
        <v>1.5572999999999999</v>
      </c>
      <c r="FF35">
        <v>391.55950000000001</v>
      </c>
      <c r="FG35">
        <v>7.4580000000000002</v>
      </c>
      <c r="FH35">
        <v>1798</v>
      </c>
      <c r="FI35">
        <v>1210.7302999999999</v>
      </c>
      <c r="FJ35">
        <v>143.346</v>
      </c>
      <c r="FK35">
        <v>450.3347</v>
      </c>
      <c r="FL35">
        <v>1.1839999999999999</v>
      </c>
      <c r="FM35">
        <v>1210.7302999999999</v>
      </c>
      <c r="FN35">
        <v>13.329000000000001</v>
      </c>
      <c r="FO35">
        <v>3985</v>
      </c>
      <c r="FQ35">
        <v>17.2</v>
      </c>
      <c r="FR35">
        <v>0.9</v>
      </c>
      <c r="FS35">
        <v>306.75466080814965</v>
      </c>
      <c r="FT35">
        <v>0.83</v>
      </c>
      <c r="FU35">
        <v>30.5</v>
      </c>
      <c r="FV35">
        <v>1.2</v>
      </c>
      <c r="FW35">
        <v>362.63239169499872</v>
      </c>
      <c r="FX35">
        <v>0.82</v>
      </c>
      <c r="FY35">
        <v>32.972951645128539</v>
      </c>
      <c r="FZ35">
        <v>0.62533159136753369</v>
      </c>
      <c r="GA35">
        <v>313.84730407815869</v>
      </c>
      <c r="GB35">
        <v>18.601434687447181</v>
      </c>
      <c r="GC35">
        <v>3.1709537964598367</v>
      </c>
      <c r="GD35">
        <v>39.226497650146484</v>
      </c>
      <c r="GF35">
        <v>17.554964412939125</v>
      </c>
      <c r="GG35">
        <v>0.32652532117768979</v>
      </c>
      <c r="GH35">
        <v>328.06707721140953</v>
      </c>
      <c r="GI35">
        <v>10.488115649835658</v>
      </c>
      <c r="GJ35">
        <v>3.2132227963100637</v>
      </c>
      <c r="GK35">
        <v>37.81915283203125</v>
      </c>
      <c r="GM35">
        <v>73</v>
      </c>
      <c r="GN35">
        <v>78</v>
      </c>
      <c r="GO35">
        <v>107</v>
      </c>
      <c r="GP35">
        <v>78</v>
      </c>
      <c r="GQ35">
        <v>8</v>
      </c>
      <c r="GR35">
        <v>116</v>
      </c>
      <c r="GT35">
        <v>95</v>
      </c>
      <c r="GU35">
        <v>25</v>
      </c>
      <c r="GV35">
        <v>15</v>
      </c>
      <c r="GW35">
        <v>67.12</v>
      </c>
      <c r="GX35">
        <v>35.06</v>
      </c>
      <c r="GY35">
        <v>16.55</v>
      </c>
      <c r="GZ35">
        <v>16.489999999999998</v>
      </c>
      <c r="HB35">
        <v>84</v>
      </c>
      <c r="HC35">
        <v>8</v>
      </c>
      <c r="HD35">
        <v>5</v>
      </c>
      <c r="HE35">
        <v>36.450000000000003</v>
      </c>
      <c r="HF35">
        <v>25.12</v>
      </c>
      <c r="HG35">
        <v>10.42</v>
      </c>
      <c r="HH35">
        <v>14.92</v>
      </c>
    </row>
    <row r="36" spans="1:216" x14ac:dyDescent="0.25">
      <c r="B36" s="1" t="s">
        <v>215</v>
      </c>
      <c r="C36" s="3" t="s">
        <v>222</v>
      </c>
      <c r="D36" s="3">
        <v>3</v>
      </c>
      <c r="E36" s="6">
        <v>43.6</v>
      </c>
      <c r="F36" s="6">
        <v>0</v>
      </c>
      <c r="G36" s="6">
        <v>3</v>
      </c>
      <c r="H36" s="6">
        <v>25.9</v>
      </c>
      <c r="I36" s="6">
        <v>0.5</v>
      </c>
      <c r="J36" s="6">
        <v>15.5</v>
      </c>
      <c r="K36" s="6">
        <v>0.2</v>
      </c>
      <c r="L36">
        <v>0.40300000000000002</v>
      </c>
      <c r="M36">
        <v>0.23</v>
      </c>
      <c r="N36">
        <v>0.121</v>
      </c>
      <c r="O36">
        <v>9.7000000000000003E-2</v>
      </c>
      <c r="P36">
        <v>4.5799183204181801</v>
      </c>
      <c r="Q36">
        <v>5.7234405587589091E-2</v>
      </c>
      <c r="R36">
        <v>204.09516064158549</v>
      </c>
      <c r="S36">
        <v>1.4118505604435296</v>
      </c>
      <c r="T36">
        <v>2.3576993274765834</v>
      </c>
      <c r="U36">
        <v>29.710050582885742</v>
      </c>
      <c r="V36">
        <v>313.00409999999999</v>
      </c>
      <c r="W36">
        <v>14.2621</v>
      </c>
      <c r="X36">
        <v>44.805599999999998</v>
      </c>
      <c r="Y36">
        <v>0.3498</v>
      </c>
      <c r="Z36">
        <v>327.22609999999997</v>
      </c>
      <c r="AA36">
        <v>0.39200000000000002</v>
      </c>
      <c r="AB36">
        <v>2282</v>
      </c>
      <c r="AD36" s="3" t="s">
        <v>223</v>
      </c>
      <c r="AE36" s="3">
        <v>3</v>
      </c>
      <c r="AF36">
        <v>87</v>
      </c>
      <c r="AG36">
        <v>7</v>
      </c>
      <c r="AH36">
        <v>22</v>
      </c>
      <c r="AI36">
        <v>61.3</v>
      </c>
      <c r="AJ36">
        <v>40.1</v>
      </c>
      <c r="AK36">
        <v>0.9</v>
      </c>
      <c r="AL36">
        <v>0.7</v>
      </c>
      <c r="AM36">
        <v>251.2</v>
      </c>
      <c r="AN36">
        <v>135.80000000000001</v>
      </c>
      <c r="AO36">
        <v>0.72</v>
      </c>
      <c r="AP36">
        <v>0.65</v>
      </c>
      <c r="AQ36">
        <v>5.04</v>
      </c>
      <c r="AR36">
        <v>2.0569999999999999</v>
      </c>
      <c r="AS36">
        <v>3.621</v>
      </c>
      <c r="AT36">
        <v>1.054</v>
      </c>
      <c r="AU36">
        <v>54.6</v>
      </c>
      <c r="AV36">
        <v>4</v>
      </c>
      <c r="AW36">
        <v>8</v>
      </c>
      <c r="AX36">
        <v>35</v>
      </c>
      <c r="AY36">
        <v>30.6</v>
      </c>
      <c r="AZ36">
        <v>0.9</v>
      </c>
      <c r="BA36">
        <v>0.9</v>
      </c>
      <c r="BB36">
        <v>310.7</v>
      </c>
      <c r="BC36">
        <v>227.5</v>
      </c>
      <c r="BD36">
        <v>0.85</v>
      </c>
      <c r="BE36">
        <v>0.85</v>
      </c>
      <c r="BF36">
        <v>4.7910000000000004</v>
      </c>
      <c r="BG36">
        <v>2.3140000000000001</v>
      </c>
      <c r="BH36">
        <v>2.3410000000000002</v>
      </c>
      <c r="BI36">
        <v>1.0669999999999999</v>
      </c>
      <c r="BJ36">
        <v>15.605608016226551</v>
      </c>
      <c r="BK36">
        <v>2.2784261025157491E-2</v>
      </c>
      <c r="BL36">
        <v>201.30131940822957</v>
      </c>
      <c r="BM36">
        <v>8.3931664205489884</v>
      </c>
      <c r="BN36">
        <v>31.036168180616016</v>
      </c>
      <c r="BO36">
        <v>71.619523620605463</v>
      </c>
      <c r="BP36">
        <v>13.519494995912851</v>
      </c>
      <c r="BQ36">
        <v>1.6127989808729815E-2</v>
      </c>
      <c r="BR36">
        <v>183.20861697891326</v>
      </c>
      <c r="BS36">
        <v>6.8127606500185056</v>
      </c>
      <c r="BT36">
        <v>34.935811513532748</v>
      </c>
      <c r="BU36">
        <v>74.042036437988287</v>
      </c>
      <c r="BV36">
        <v>26.923063389441477</v>
      </c>
      <c r="BW36">
        <v>7.3622580125994735E-2</v>
      </c>
      <c r="BX36">
        <v>227.69409089372493</v>
      </c>
      <c r="BY36">
        <v>21.576150394765982</v>
      </c>
      <c r="BZ36">
        <v>25.026072006421174</v>
      </c>
      <c r="CA36">
        <v>67.99221496582031</v>
      </c>
      <c r="CB36">
        <v>19.554297841083731</v>
      </c>
      <c r="CC36">
        <v>6.4297228859986927E-2</v>
      </c>
      <c r="CD36">
        <v>246.31425149959733</v>
      </c>
      <c r="CE36">
        <v>17.866854984178957</v>
      </c>
      <c r="CF36">
        <v>23.203836390237857</v>
      </c>
      <c r="CG36">
        <v>66.542683410644528</v>
      </c>
      <c r="CH36">
        <v>266.84809999999999</v>
      </c>
      <c r="CI36">
        <v>43.792099999999998</v>
      </c>
      <c r="CJ36">
        <v>137.57679999999999</v>
      </c>
      <c r="CK36">
        <v>1.6411</v>
      </c>
      <c r="CL36">
        <v>266.84809999999999</v>
      </c>
      <c r="CM36">
        <v>5.6440000000000001</v>
      </c>
      <c r="CN36">
        <v>752</v>
      </c>
      <c r="CW36">
        <v>80.400000000000006</v>
      </c>
      <c r="CX36">
        <v>6</v>
      </c>
      <c r="CY36">
        <v>22</v>
      </c>
      <c r="CZ36">
        <v>28.1</v>
      </c>
      <c r="DA36">
        <v>34</v>
      </c>
      <c r="DB36">
        <v>0.9</v>
      </c>
      <c r="DC36">
        <v>0.9</v>
      </c>
      <c r="DD36">
        <v>345.94292873858831</v>
      </c>
      <c r="DE36">
        <v>244.8290197749759</v>
      </c>
      <c r="DF36">
        <v>0.72</v>
      </c>
      <c r="DG36">
        <v>0.65</v>
      </c>
      <c r="DH36">
        <v>18.280999999999999</v>
      </c>
      <c r="DI36">
        <v>12.984999999999999</v>
      </c>
      <c r="DJ36">
        <v>7.125</v>
      </c>
      <c r="DK36">
        <v>4.992</v>
      </c>
      <c r="DL36">
        <v>95.2</v>
      </c>
      <c r="DM36">
        <v>13</v>
      </c>
      <c r="DN36">
        <v>46</v>
      </c>
      <c r="DO36">
        <v>36.4</v>
      </c>
      <c r="DP36">
        <v>45.5</v>
      </c>
      <c r="DQ36">
        <v>1.1000000000000001</v>
      </c>
      <c r="DR36">
        <v>1.1000000000000001</v>
      </c>
      <c r="DS36">
        <v>350.52586190798121</v>
      </c>
      <c r="DT36">
        <v>308.35884524217852</v>
      </c>
      <c r="DU36">
        <v>0.84</v>
      </c>
      <c r="DV36">
        <v>0.83</v>
      </c>
      <c r="DW36">
        <v>22.178999999999998</v>
      </c>
      <c r="DX36">
        <v>15.814</v>
      </c>
      <c r="DY36">
        <v>8.7620000000000005</v>
      </c>
      <c r="DZ36">
        <v>5.3979999999999997</v>
      </c>
      <c r="EB36">
        <v>26.923063389441477</v>
      </c>
      <c r="EC36">
        <v>7.3622580125994735E-2</v>
      </c>
      <c r="ED36">
        <v>227.69409089372493</v>
      </c>
      <c r="EE36">
        <v>21.576150394765982</v>
      </c>
      <c r="EF36">
        <v>25.026072006421174</v>
      </c>
      <c r="EG36">
        <v>67.99221496582031</v>
      </c>
      <c r="EH36">
        <v>19.554297841083731</v>
      </c>
      <c r="EI36">
        <v>6.4297228859986927E-2</v>
      </c>
      <c r="EJ36">
        <v>246.31425149959733</v>
      </c>
      <c r="EK36">
        <v>17.866854984178957</v>
      </c>
      <c r="EL36">
        <v>23.203836390237857</v>
      </c>
      <c r="EM36">
        <v>66.542683410644528</v>
      </c>
      <c r="EO36">
        <v>28.411366800002234</v>
      </c>
      <c r="EP36">
        <v>3.6586862263985304E-2</v>
      </c>
      <c r="EQ36">
        <v>242.1609670610836</v>
      </c>
      <c r="ER36">
        <v>12.239586797506695</v>
      </c>
      <c r="ES36">
        <v>27.682235222931208</v>
      </c>
      <c r="ET36">
        <v>69.81334114074707</v>
      </c>
      <c r="EU36">
        <v>18.484480839403034</v>
      </c>
      <c r="EV36">
        <v>1.8256278105089802E-2</v>
      </c>
      <c r="EW36">
        <v>140.486976589287</v>
      </c>
      <c r="EX36">
        <v>11.597270586747197</v>
      </c>
      <c r="EY36">
        <v>46.186796812667595</v>
      </c>
      <c r="EZ36">
        <v>80.788813781738284</v>
      </c>
      <c r="FB36">
        <v>431.92039999999997</v>
      </c>
      <c r="FC36">
        <v>147.83033333333333</v>
      </c>
      <c r="FD36">
        <v>464.42263333333335</v>
      </c>
      <c r="FE36">
        <v>3.7169666666666665</v>
      </c>
      <c r="FF36">
        <v>431.92039999999997</v>
      </c>
      <c r="FG36">
        <v>48.288666666666664</v>
      </c>
      <c r="FH36">
        <v>2946.3333333333335</v>
      </c>
      <c r="FI36">
        <v>1210.3034666666665</v>
      </c>
      <c r="FJ36">
        <v>179.88193333333334</v>
      </c>
      <c r="FK36">
        <v>565.11573333333331</v>
      </c>
      <c r="FL36">
        <v>1.4971333333333334</v>
      </c>
      <c r="FM36">
        <v>1210.3034666666665</v>
      </c>
      <c r="FN36">
        <v>21.983333333333331</v>
      </c>
      <c r="FO36">
        <v>5124.333333333333</v>
      </c>
      <c r="FQ36">
        <v>15.6</v>
      </c>
      <c r="FR36">
        <v>0.9</v>
      </c>
      <c r="FS36">
        <v>309.95978395785153</v>
      </c>
      <c r="FT36">
        <v>0.82</v>
      </c>
      <c r="FU36">
        <v>31.1</v>
      </c>
      <c r="FV36">
        <v>1.2</v>
      </c>
      <c r="FW36">
        <v>374.57934509962337</v>
      </c>
      <c r="FX36">
        <v>0.82</v>
      </c>
      <c r="FY36">
        <v>33.064804423324112</v>
      </c>
      <c r="FZ36">
        <v>0.62456245051570625</v>
      </c>
      <c r="GA36">
        <v>313.45166345445455</v>
      </c>
      <c r="GB36">
        <v>18.593891119146232</v>
      </c>
      <c r="GC36">
        <v>3.1730371189845124</v>
      </c>
      <c r="GD36">
        <v>39.230781555175781</v>
      </c>
      <c r="GF36">
        <v>17.650232013103018</v>
      </c>
      <c r="GG36">
        <v>0.32611977693232536</v>
      </c>
      <c r="GH36">
        <v>327.44553154947664</v>
      </c>
      <c r="GI36">
        <v>10.481121489162968</v>
      </c>
      <c r="GJ36">
        <v>3.2147708787429026</v>
      </c>
      <c r="GK36">
        <v>37.822891235351563</v>
      </c>
      <c r="GM36">
        <v>73</v>
      </c>
      <c r="GN36">
        <v>78</v>
      </c>
      <c r="GO36">
        <v>107</v>
      </c>
      <c r="GP36">
        <v>78</v>
      </c>
      <c r="GQ36">
        <v>83</v>
      </c>
      <c r="GR36">
        <v>116</v>
      </c>
      <c r="GT36">
        <v>95.5</v>
      </c>
      <c r="GU36">
        <v>22</v>
      </c>
      <c r="GV36">
        <v>15</v>
      </c>
      <c r="GW36">
        <v>66.98</v>
      </c>
      <c r="GX36">
        <v>34.11</v>
      </c>
      <c r="GY36">
        <v>1.67</v>
      </c>
      <c r="GZ36">
        <v>16.12</v>
      </c>
      <c r="HB36">
        <v>94</v>
      </c>
      <c r="HC36">
        <v>10</v>
      </c>
      <c r="HD36">
        <v>6</v>
      </c>
      <c r="HE36">
        <v>39.79</v>
      </c>
      <c r="HF36">
        <v>28.45</v>
      </c>
      <c r="HG36">
        <v>13.97</v>
      </c>
      <c r="HH36">
        <v>15.95</v>
      </c>
    </row>
    <row r="37" spans="1:216" x14ac:dyDescent="0.25">
      <c r="A37" t="s">
        <v>201</v>
      </c>
      <c r="B37" s="1" t="s">
        <v>216</v>
      </c>
      <c r="C37" s="3" t="s">
        <v>222</v>
      </c>
      <c r="D37" s="3">
        <v>1</v>
      </c>
      <c r="E37" s="6">
        <v>37.5</v>
      </c>
      <c r="F37" s="6">
        <v>0</v>
      </c>
      <c r="G37" s="6">
        <v>3</v>
      </c>
      <c r="H37" s="6">
        <v>31.5</v>
      </c>
      <c r="I37" s="6">
        <v>0.6</v>
      </c>
      <c r="J37" s="6">
        <v>19.7</v>
      </c>
      <c r="K37" s="6">
        <v>0.15</v>
      </c>
      <c r="L37">
        <v>0.55000000000000004</v>
      </c>
      <c r="M37">
        <v>0.23</v>
      </c>
      <c r="N37">
        <v>0.187</v>
      </c>
      <c r="O37">
        <v>8.6999999999999994E-2</v>
      </c>
      <c r="P37">
        <v>7.1393419606940478</v>
      </c>
      <c r="Q37">
        <v>8.0553165848913227E-2</v>
      </c>
      <c r="R37">
        <v>189.4478022568463</v>
      </c>
      <c r="S37">
        <v>1.9542593787703753</v>
      </c>
      <c r="T37">
        <v>2.3299145906416552</v>
      </c>
      <c r="U37">
        <v>29.665559768676758</v>
      </c>
      <c r="V37">
        <v>407.7602</v>
      </c>
      <c r="W37">
        <v>15.8775</v>
      </c>
      <c r="X37">
        <v>49.880499999999998</v>
      </c>
      <c r="Y37">
        <v>0.4153</v>
      </c>
      <c r="Z37">
        <v>382.2688</v>
      </c>
      <c r="AA37">
        <v>0.51800000000000002</v>
      </c>
      <c r="AB37">
        <v>2024</v>
      </c>
      <c r="AC37" s="1" t="s">
        <v>216</v>
      </c>
      <c r="AD37" s="3" t="s">
        <v>223</v>
      </c>
      <c r="AE37" s="3">
        <v>1</v>
      </c>
      <c r="AF37">
        <v>67</v>
      </c>
      <c r="AG37">
        <v>5</v>
      </c>
      <c r="AH37">
        <v>17</v>
      </c>
      <c r="AI37">
        <v>45.8</v>
      </c>
      <c r="AJ37">
        <v>34.6</v>
      </c>
      <c r="AK37">
        <v>0.7</v>
      </c>
      <c r="AL37">
        <v>0.6</v>
      </c>
      <c r="AM37">
        <v>405.8</v>
      </c>
      <c r="AN37">
        <v>189.7</v>
      </c>
      <c r="AO37">
        <v>0.71</v>
      </c>
      <c r="AP37">
        <v>0.63</v>
      </c>
      <c r="AQ37">
        <v>10.42</v>
      </c>
      <c r="AR37">
        <v>3.7690000000000001</v>
      </c>
      <c r="AS37">
        <v>12.31</v>
      </c>
      <c r="AT37">
        <v>3.5649999999999999</v>
      </c>
      <c r="AU37">
        <v>82.1</v>
      </c>
      <c r="AV37">
        <v>19</v>
      </c>
      <c r="AW37">
        <v>44</v>
      </c>
      <c r="AX37">
        <v>52.9</v>
      </c>
      <c r="AY37">
        <v>38</v>
      </c>
      <c r="AZ37">
        <v>0.8</v>
      </c>
      <c r="BA37">
        <v>0.8</v>
      </c>
      <c r="BB37">
        <v>248.1</v>
      </c>
      <c r="BC37">
        <v>245.6</v>
      </c>
      <c r="BD37">
        <v>0.85</v>
      </c>
      <c r="BE37">
        <v>0.83</v>
      </c>
      <c r="BF37">
        <v>22.417000000000002</v>
      </c>
      <c r="BG37">
        <v>10.984</v>
      </c>
      <c r="BH37">
        <v>12.49</v>
      </c>
      <c r="BI37">
        <v>3.9809999999999999</v>
      </c>
      <c r="BJ37">
        <v>30.907882573036623</v>
      </c>
      <c r="BK37">
        <v>3.2408476000017283E-2</v>
      </c>
      <c r="BL37">
        <v>80.056047971398755</v>
      </c>
      <c r="BM37">
        <v>20.812364389491773</v>
      </c>
      <c r="BN37">
        <v>54.39489089740696</v>
      </c>
      <c r="BO37">
        <v>83.610438537597659</v>
      </c>
      <c r="BP37">
        <v>8.9773108103820984</v>
      </c>
      <c r="BQ37">
        <v>1.5688231976532706E-2</v>
      </c>
      <c r="BR37">
        <v>246.27551563607614</v>
      </c>
      <c r="BS37">
        <v>4.6006461654453616</v>
      </c>
      <c r="BT37">
        <v>24.347340499214475</v>
      </c>
      <c r="BU37">
        <v>66.851304626464838</v>
      </c>
      <c r="BV37">
        <v>23.562954337547371</v>
      </c>
      <c r="BW37">
        <v>6.0416011293566961E-2</v>
      </c>
      <c r="BX37">
        <v>204.8978525781159</v>
      </c>
      <c r="BY37">
        <v>19.300534698600799</v>
      </c>
      <c r="BZ37">
        <v>30.193792618130146</v>
      </c>
      <c r="CA37">
        <v>70.589326477050776</v>
      </c>
      <c r="CB37">
        <v>19.774796654807883</v>
      </c>
      <c r="CC37">
        <v>4.7758233816759019E-2</v>
      </c>
      <c r="CD37">
        <v>211.23234912553704</v>
      </c>
      <c r="CE37">
        <v>15.258592469854054</v>
      </c>
      <c r="CF37">
        <v>29.730593745340009</v>
      </c>
      <c r="CG37">
        <v>70.278605651855472</v>
      </c>
      <c r="CH37">
        <v>587.20169999999996</v>
      </c>
      <c r="CI37">
        <v>94.080200000000005</v>
      </c>
      <c r="CJ37">
        <v>295.56169999999997</v>
      </c>
      <c r="CK37">
        <v>1.6022000000000001</v>
      </c>
      <c r="CL37">
        <v>587.20169999999996</v>
      </c>
      <c r="CM37">
        <v>11.839</v>
      </c>
      <c r="CN37">
        <v>2438</v>
      </c>
      <c r="CO37">
        <v>463.91339999999997</v>
      </c>
      <c r="CP37">
        <v>71.278733333333335</v>
      </c>
      <c r="CQ37">
        <v>223.9288333333333</v>
      </c>
      <c r="CR37">
        <v>1.5237000000000001</v>
      </c>
      <c r="CS37">
        <v>463.91339999999997</v>
      </c>
      <c r="CT37">
        <v>8.6196666666666673</v>
      </c>
      <c r="CU37">
        <v>1841.3333333333333</v>
      </c>
      <c r="CW37">
        <v>82.1</v>
      </c>
      <c r="CX37">
        <v>5</v>
      </c>
      <c r="CY37">
        <v>17</v>
      </c>
      <c r="CZ37">
        <v>27.1</v>
      </c>
      <c r="DA37">
        <v>27.3</v>
      </c>
      <c r="DB37">
        <v>0.8</v>
      </c>
      <c r="DC37">
        <v>0.9</v>
      </c>
      <c r="DD37">
        <v>317.91672043974671</v>
      </c>
      <c r="DE37">
        <v>243.07664669081117</v>
      </c>
      <c r="DF37">
        <v>0.8</v>
      </c>
      <c r="DG37">
        <v>0.63</v>
      </c>
      <c r="DH37">
        <v>19.640999999999998</v>
      </c>
      <c r="DI37">
        <v>12.765000000000001</v>
      </c>
      <c r="DJ37">
        <v>8.9909999999999997</v>
      </c>
      <c r="DK37">
        <v>5.617</v>
      </c>
      <c r="DL37">
        <v>111.4</v>
      </c>
      <c r="DM37">
        <v>26</v>
      </c>
      <c r="DN37">
        <v>93</v>
      </c>
      <c r="DO37">
        <v>47</v>
      </c>
      <c r="DP37">
        <v>54.2</v>
      </c>
      <c r="DQ37">
        <v>0.9</v>
      </c>
      <c r="DR37">
        <v>0.9</v>
      </c>
      <c r="DS37">
        <v>364.13430914210937</v>
      </c>
      <c r="DT37">
        <v>352.04820989760907</v>
      </c>
      <c r="DU37">
        <v>0.85</v>
      </c>
      <c r="DV37">
        <v>0.83</v>
      </c>
      <c r="DW37">
        <v>47.593000000000004</v>
      </c>
      <c r="DX37">
        <v>25.713999999999999</v>
      </c>
      <c r="DY37">
        <v>15.752000000000001</v>
      </c>
      <c r="DZ37">
        <v>8.7650000000000006</v>
      </c>
      <c r="EB37">
        <v>23.562954337547371</v>
      </c>
      <c r="EC37">
        <v>6.0416011293566961E-2</v>
      </c>
      <c r="ED37">
        <v>204.8978525781159</v>
      </c>
      <c r="EE37">
        <v>19.300534698600799</v>
      </c>
      <c r="EF37">
        <v>30.193792618130146</v>
      </c>
      <c r="EG37">
        <v>70.589326477050776</v>
      </c>
      <c r="EH37">
        <v>19.774796654807883</v>
      </c>
      <c r="EI37">
        <v>4.7758233816759019E-2</v>
      </c>
      <c r="EJ37">
        <v>211.23234912553704</v>
      </c>
      <c r="EK37">
        <v>15.258592469854054</v>
      </c>
      <c r="EL37">
        <v>29.730593745340009</v>
      </c>
      <c r="EM37">
        <v>70.278605651855472</v>
      </c>
      <c r="EO37">
        <v>30.430618415766709</v>
      </c>
      <c r="EP37">
        <v>6.8926296975607051E-2</v>
      </c>
      <c r="EQ37">
        <v>282.03794755383069</v>
      </c>
      <c r="ER37">
        <v>16.786680555969916</v>
      </c>
      <c r="ES37">
        <v>20.775221271087528</v>
      </c>
      <c r="ET37">
        <v>64.574562072753906</v>
      </c>
      <c r="EU37">
        <v>20.718504357949257</v>
      </c>
      <c r="EV37">
        <v>4.1203985338435764E-2</v>
      </c>
      <c r="EW37">
        <v>289.33871021280356</v>
      </c>
      <c r="EX37">
        <v>10.391015210989432</v>
      </c>
      <c r="EY37">
        <v>21.381258797848595</v>
      </c>
      <c r="EZ37">
        <v>64.825166320800776</v>
      </c>
      <c r="FB37">
        <v>375.30160000000001</v>
      </c>
      <c r="FC37">
        <v>300.19459999999998</v>
      </c>
      <c r="FD37">
        <v>943.08929999999998</v>
      </c>
      <c r="FE37">
        <v>7.9988000000000001</v>
      </c>
      <c r="FF37">
        <v>375.30160000000001</v>
      </c>
      <c r="FG37">
        <v>188.589</v>
      </c>
      <c r="FH37">
        <v>3209</v>
      </c>
      <c r="FI37">
        <v>992.4597</v>
      </c>
      <c r="FJ37">
        <v>135.53729999999999</v>
      </c>
      <c r="FK37">
        <v>425.80290000000002</v>
      </c>
      <c r="FL37">
        <v>1.3656999999999999</v>
      </c>
      <c r="FM37">
        <v>992.4597</v>
      </c>
      <c r="FN37">
        <v>14.538</v>
      </c>
      <c r="FO37">
        <v>3635</v>
      </c>
      <c r="FQ37">
        <v>20.100000000000001</v>
      </c>
      <c r="FR37">
        <v>0.9</v>
      </c>
      <c r="FS37">
        <v>322.65359817659578</v>
      </c>
      <c r="FT37">
        <v>0.82</v>
      </c>
      <c r="FU37">
        <v>37</v>
      </c>
      <c r="FV37">
        <v>1.4</v>
      </c>
      <c r="FW37">
        <v>341.33575671196724</v>
      </c>
      <c r="FX37">
        <v>0.81</v>
      </c>
      <c r="FY37">
        <v>20.868377499676271</v>
      </c>
      <c r="FZ37">
        <v>0.30947222406258285</v>
      </c>
      <c r="GA37">
        <v>296.51434133941865</v>
      </c>
      <c r="GB37">
        <v>12.391476339527147</v>
      </c>
      <c r="GC37">
        <v>3.9837692993272746</v>
      </c>
      <c r="GD37">
        <v>40.415298461914063</v>
      </c>
      <c r="GF37">
        <v>17.428741859191984</v>
      </c>
      <c r="GG37">
        <v>0.32260070654982431</v>
      </c>
      <c r="GH37">
        <v>327.53432613213937</v>
      </c>
      <c r="GI37">
        <v>10.423053887262892</v>
      </c>
      <c r="GJ37">
        <v>3.2292305852652157</v>
      </c>
      <c r="GK37">
        <v>37.859096527099609</v>
      </c>
      <c r="GM37">
        <v>83</v>
      </c>
      <c r="GN37">
        <v>87</v>
      </c>
      <c r="GO37">
        <v>118</v>
      </c>
      <c r="GP37">
        <v>87</v>
      </c>
      <c r="GQ37">
        <v>92</v>
      </c>
      <c r="GR37">
        <v>124</v>
      </c>
      <c r="GT37">
        <v>102</v>
      </c>
      <c r="GU37">
        <v>18</v>
      </c>
      <c r="GV37">
        <v>9</v>
      </c>
      <c r="GW37">
        <v>60.97</v>
      </c>
      <c r="GX37">
        <v>37.65</v>
      </c>
      <c r="GY37">
        <v>12.75</v>
      </c>
      <c r="GZ37">
        <v>13.55</v>
      </c>
      <c r="HB37">
        <v>90</v>
      </c>
      <c r="HC37">
        <v>5</v>
      </c>
      <c r="HD37">
        <v>3</v>
      </c>
      <c r="HE37">
        <v>33.43</v>
      </c>
      <c r="HF37">
        <v>18.97</v>
      </c>
      <c r="HG37">
        <v>7.74</v>
      </c>
      <c r="HH37">
        <v>13.97</v>
      </c>
    </row>
    <row r="38" spans="1:216" x14ac:dyDescent="0.25">
      <c r="B38" s="1" t="s">
        <v>216</v>
      </c>
      <c r="C38" s="3" t="s">
        <v>222</v>
      </c>
      <c r="D38" s="3">
        <v>2</v>
      </c>
      <c r="E38" s="6">
        <v>39.6</v>
      </c>
      <c r="F38" s="6">
        <v>0</v>
      </c>
      <c r="G38" s="6">
        <v>3</v>
      </c>
      <c r="H38" s="6">
        <v>30.9</v>
      </c>
      <c r="I38" s="6">
        <v>0.7</v>
      </c>
      <c r="J38" s="6">
        <v>18.2</v>
      </c>
      <c r="K38" s="6">
        <v>0.1</v>
      </c>
      <c r="L38">
        <v>0.53999999999999992</v>
      </c>
      <c r="M38">
        <v>0.25</v>
      </c>
      <c r="N38">
        <v>0.19800000000000001</v>
      </c>
      <c r="O38">
        <v>9.8000000000000004E-2</v>
      </c>
      <c r="P38">
        <v>7.6582920385689048</v>
      </c>
      <c r="Q38">
        <v>7.8801253859167988E-2</v>
      </c>
      <c r="R38">
        <v>175.61703564955718</v>
      </c>
      <c r="S38">
        <v>1.9068730922850188</v>
      </c>
      <c r="T38">
        <v>2.3231105851086626</v>
      </c>
      <c r="U38">
        <v>29.649682998657227</v>
      </c>
      <c r="V38">
        <v>382.2688</v>
      </c>
      <c r="W38">
        <v>19.121200000000002</v>
      </c>
      <c r="X38">
        <v>56.234400000000001</v>
      </c>
      <c r="Y38">
        <v>0.47810000000000002</v>
      </c>
      <c r="Z38">
        <v>399.96140000000003</v>
      </c>
      <c r="AA38">
        <v>0.54400000000000004</v>
      </c>
      <c r="AB38">
        <v>1967</v>
      </c>
      <c r="AD38" s="3" t="s">
        <v>223</v>
      </c>
      <c r="AE38" s="3">
        <v>2</v>
      </c>
      <c r="AF38">
        <v>58.7</v>
      </c>
      <c r="AG38">
        <v>3</v>
      </c>
      <c r="AH38">
        <v>14</v>
      </c>
      <c r="AI38">
        <v>39.1</v>
      </c>
      <c r="AJ38">
        <v>24.4</v>
      </c>
      <c r="AK38">
        <v>0.6</v>
      </c>
      <c r="AL38">
        <v>0.4</v>
      </c>
      <c r="AM38">
        <v>414.2</v>
      </c>
      <c r="AN38">
        <v>171.9</v>
      </c>
      <c r="AO38">
        <v>0.76</v>
      </c>
      <c r="AP38">
        <v>0.64</v>
      </c>
      <c r="AQ38">
        <v>7.31</v>
      </c>
      <c r="AR38">
        <v>2.512</v>
      </c>
      <c r="AS38">
        <v>13.156000000000001</v>
      </c>
      <c r="AT38">
        <v>4.8120000000000003</v>
      </c>
      <c r="AU38">
        <v>80.5</v>
      </c>
      <c r="AV38">
        <v>17</v>
      </c>
      <c r="AW38">
        <v>46</v>
      </c>
      <c r="AX38">
        <v>56.8</v>
      </c>
      <c r="AY38">
        <v>39.799999999999997</v>
      </c>
      <c r="AZ38">
        <v>0.8</v>
      </c>
      <c r="BA38">
        <v>0.8</v>
      </c>
      <c r="BB38">
        <v>243.6</v>
      </c>
      <c r="BC38">
        <v>237.5</v>
      </c>
      <c r="BD38">
        <v>0.86</v>
      </c>
      <c r="BE38">
        <v>0.85</v>
      </c>
      <c r="BF38">
        <v>16.550999999999998</v>
      </c>
      <c r="BG38">
        <v>7.6509999999999998</v>
      </c>
      <c r="BH38">
        <v>8.4830000000000005</v>
      </c>
      <c r="BI38">
        <v>2.0110000000000001</v>
      </c>
      <c r="BJ38">
        <v>28.921471323312108</v>
      </c>
      <c r="BK38">
        <v>4.6339988557292142E-2</v>
      </c>
      <c r="BL38">
        <v>135.58961968315137</v>
      </c>
      <c r="BM38">
        <v>19.719393723166508</v>
      </c>
      <c r="BN38">
        <v>43.424222045334616</v>
      </c>
      <c r="BO38">
        <v>77.221255493164065</v>
      </c>
      <c r="BP38">
        <v>12.691557904323815</v>
      </c>
      <c r="BQ38">
        <v>7.0108700024317881E-3</v>
      </c>
      <c r="BR38">
        <v>51.525069672884285</v>
      </c>
      <c r="BS38">
        <v>6.5739379961264293</v>
      </c>
      <c r="BT38">
        <v>61.496325278312653</v>
      </c>
      <c r="BU38">
        <v>87.260247802734369</v>
      </c>
      <c r="BV38">
        <v>20.373288478348726</v>
      </c>
      <c r="BW38">
        <v>1.8136023797797222E-2</v>
      </c>
      <c r="BX38">
        <v>53.984534727690786</v>
      </c>
      <c r="BY38">
        <v>17.034914111716851</v>
      </c>
      <c r="BZ38">
        <v>60.259195075297235</v>
      </c>
      <c r="CA38">
        <v>87.150270080566401</v>
      </c>
      <c r="CB38">
        <v>12.155072596002251</v>
      </c>
      <c r="CC38">
        <v>4.4101522140917442E-2</v>
      </c>
      <c r="CD38">
        <v>250.31819321878248</v>
      </c>
      <c r="CE38">
        <v>12.769065103236136</v>
      </c>
      <c r="CF38">
        <v>24.043124861936988</v>
      </c>
      <c r="CG38">
        <v>66.943632507324224</v>
      </c>
      <c r="CH38">
        <v>373.04469999999998</v>
      </c>
      <c r="CI38">
        <v>53.294499999999999</v>
      </c>
      <c r="CJ38">
        <v>167.4297</v>
      </c>
      <c r="CK38">
        <v>1.4286000000000001</v>
      </c>
      <c r="CL38">
        <v>373.04469999999998</v>
      </c>
      <c r="CM38">
        <v>5.98</v>
      </c>
      <c r="CN38">
        <v>1612</v>
      </c>
      <c r="CO38">
        <v>323.62783333333329</v>
      </c>
      <c r="CP38">
        <v>32.416766666666668</v>
      </c>
      <c r="CQ38">
        <v>101.84023333333334</v>
      </c>
      <c r="CR38">
        <v>1.0063333333333333</v>
      </c>
      <c r="CS38">
        <v>323.62783333333329</v>
      </c>
      <c r="CT38">
        <v>2.561666666666667</v>
      </c>
      <c r="CU38">
        <v>1364</v>
      </c>
      <c r="CW38">
        <v>73.2</v>
      </c>
      <c r="CX38">
        <v>4</v>
      </c>
      <c r="CY38">
        <v>15</v>
      </c>
      <c r="CZ38">
        <v>19.8</v>
      </c>
      <c r="DA38">
        <v>22.7</v>
      </c>
      <c r="DB38">
        <v>0.7</v>
      </c>
      <c r="DC38">
        <v>0.9</v>
      </c>
      <c r="DD38">
        <v>313.15203151956922</v>
      </c>
      <c r="DE38">
        <v>246.57672602680049</v>
      </c>
      <c r="DF38">
        <v>0.81</v>
      </c>
      <c r="DG38">
        <v>0.64</v>
      </c>
      <c r="DH38">
        <v>18.186</v>
      </c>
      <c r="DI38">
        <v>12.984999999999999</v>
      </c>
      <c r="DJ38">
        <v>6.2249999999999996</v>
      </c>
      <c r="DK38">
        <v>5.992</v>
      </c>
      <c r="DL38">
        <v>110.5</v>
      </c>
      <c r="DM38">
        <v>27</v>
      </c>
      <c r="DN38">
        <v>97</v>
      </c>
      <c r="DO38">
        <v>33</v>
      </c>
      <c r="DP38">
        <v>40.1</v>
      </c>
      <c r="DQ38">
        <v>0.9</v>
      </c>
      <c r="DR38">
        <v>0.9</v>
      </c>
      <c r="DS38">
        <v>380.49561523304453</v>
      </c>
      <c r="DT38">
        <v>342.87420669262445</v>
      </c>
      <c r="DU38">
        <v>0.85</v>
      </c>
      <c r="DV38">
        <v>0.85</v>
      </c>
      <c r="DW38">
        <v>51.662999999999997</v>
      </c>
      <c r="DX38">
        <v>29.843</v>
      </c>
      <c r="DY38">
        <v>16.934999999999999</v>
      </c>
      <c r="DZ38">
        <v>9.6519999999999992</v>
      </c>
      <c r="EB38">
        <v>20.373288478348726</v>
      </c>
      <c r="EC38">
        <v>1.8136023797797222E-2</v>
      </c>
      <c r="ED38">
        <v>53.984534727690786</v>
      </c>
      <c r="EE38">
        <v>17.034914111716851</v>
      </c>
      <c r="EF38">
        <v>60.259195075297235</v>
      </c>
      <c r="EG38">
        <v>87.150270080566401</v>
      </c>
      <c r="EH38">
        <v>12.155072596002251</v>
      </c>
      <c r="EI38">
        <v>4.4101522140917442E-2</v>
      </c>
      <c r="EJ38">
        <v>250.31819321878248</v>
      </c>
      <c r="EK38">
        <v>12.769065103236136</v>
      </c>
      <c r="EL38">
        <v>24.043124861936988</v>
      </c>
      <c r="EM38">
        <v>66.943632507324224</v>
      </c>
      <c r="EO38">
        <v>19.52275218072851</v>
      </c>
      <c r="EP38">
        <v>4.3735688811116349E-2</v>
      </c>
      <c r="EQ38">
        <v>278.37559635493324</v>
      </c>
      <c r="ER38">
        <v>12.173523494035773</v>
      </c>
      <c r="ES38">
        <v>23.328145615115552</v>
      </c>
      <c r="ET38">
        <v>66.504074096679688</v>
      </c>
      <c r="EU38">
        <v>11.973985235816212</v>
      </c>
      <c r="EV38">
        <v>1.2251245190229961E-2</v>
      </c>
      <c r="EW38">
        <v>151.2475949537417</v>
      </c>
      <c r="EX38">
        <v>7.6074625392843105</v>
      </c>
      <c r="EY38">
        <v>45.07373745644054</v>
      </c>
      <c r="EZ38">
        <v>80.216535949707037</v>
      </c>
      <c r="FB38">
        <v>817.73080000000004</v>
      </c>
      <c r="FC38">
        <v>213.25620000000001</v>
      </c>
      <c r="FD38">
        <v>669.96410000000003</v>
      </c>
      <c r="FE38">
        <v>2.6078999999999999</v>
      </c>
      <c r="FF38">
        <v>817.73080000000004</v>
      </c>
      <c r="FG38">
        <v>43.68</v>
      </c>
      <c r="FH38">
        <v>3897</v>
      </c>
      <c r="FI38">
        <v>1720.3000999999999</v>
      </c>
      <c r="FJ38">
        <v>147.20509999999999</v>
      </c>
      <c r="FK38">
        <v>462.45859999999999</v>
      </c>
      <c r="FL38">
        <v>0.85570000000000002</v>
      </c>
      <c r="FM38">
        <v>1720.3000999999999</v>
      </c>
      <c r="FN38">
        <v>9.8930000000000007</v>
      </c>
      <c r="FO38">
        <v>6168</v>
      </c>
      <c r="FQ38">
        <v>20.8</v>
      </c>
      <c r="FR38">
        <v>0.9</v>
      </c>
      <c r="FS38">
        <v>336.70380810358051</v>
      </c>
      <c r="FT38">
        <v>0.82</v>
      </c>
      <c r="FU38">
        <v>33</v>
      </c>
      <c r="FV38">
        <v>1.4</v>
      </c>
      <c r="FW38">
        <v>350.52586190798121</v>
      </c>
      <c r="FX38">
        <v>0.81</v>
      </c>
      <c r="FY38">
        <v>20.766303749604596</v>
      </c>
      <c r="FZ38">
        <v>0.30936972133258672</v>
      </c>
      <c r="GA38">
        <v>297.04856079972143</v>
      </c>
      <c r="GB38">
        <v>12.391573533786547</v>
      </c>
      <c r="GC38">
        <v>3.9850073530534571</v>
      </c>
      <c r="GD38">
        <v>40.417720794677734</v>
      </c>
      <c r="GF38">
        <v>17.381467158417575</v>
      </c>
      <c r="GG38">
        <v>0.32253933368030135</v>
      </c>
      <c r="GH38">
        <v>327.76902484699991</v>
      </c>
      <c r="GI38">
        <v>10.422506676213887</v>
      </c>
      <c r="GJ38">
        <v>3.2296238906838686</v>
      </c>
      <c r="GK38">
        <v>37.859752655029297</v>
      </c>
      <c r="GM38">
        <v>83</v>
      </c>
      <c r="GN38">
        <v>87</v>
      </c>
      <c r="GO38">
        <v>118</v>
      </c>
      <c r="GP38">
        <v>87</v>
      </c>
      <c r="GQ38">
        <v>92</v>
      </c>
      <c r="GR38">
        <v>124</v>
      </c>
      <c r="GT38">
        <v>105</v>
      </c>
      <c r="GU38">
        <v>14</v>
      </c>
      <c r="GV38">
        <v>12</v>
      </c>
      <c r="GW38">
        <v>61.99</v>
      </c>
      <c r="GX38">
        <v>38.659999999999997</v>
      </c>
      <c r="GY38">
        <v>13.66</v>
      </c>
      <c r="GZ38">
        <v>14.12</v>
      </c>
      <c r="HB38">
        <v>88</v>
      </c>
      <c r="HC38">
        <v>5</v>
      </c>
      <c r="HD38">
        <v>3</v>
      </c>
      <c r="HE38">
        <v>32.159999999999997</v>
      </c>
      <c r="HF38">
        <v>19.05</v>
      </c>
      <c r="HG38">
        <v>7.52</v>
      </c>
      <c r="HH38">
        <v>14.632</v>
      </c>
    </row>
    <row r="39" spans="1:216" x14ac:dyDescent="0.25">
      <c r="B39" s="1" t="s">
        <v>216</v>
      </c>
      <c r="C39" s="3" t="s">
        <v>222</v>
      </c>
      <c r="D39" s="3">
        <v>3</v>
      </c>
      <c r="E39" s="6">
        <v>39.799999999999997</v>
      </c>
      <c r="F39" s="6">
        <v>0</v>
      </c>
      <c r="G39" s="6">
        <v>3</v>
      </c>
      <c r="H39" s="6">
        <v>31.8</v>
      </c>
      <c r="I39" s="6">
        <v>0.6</v>
      </c>
      <c r="J39" s="6">
        <v>17.399999999999999</v>
      </c>
      <c r="K39" s="6">
        <v>0.2</v>
      </c>
      <c r="L39">
        <v>0.51400000000000001</v>
      </c>
      <c r="M39">
        <v>0.25</v>
      </c>
      <c r="N39">
        <v>0.17799999999999999</v>
      </c>
      <c r="O39">
        <v>7.9000000000000001E-2</v>
      </c>
      <c r="P39">
        <v>6.2147075511641354</v>
      </c>
      <c r="Q39">
        <v>5.8207889347469503E-2</v>
      </c>
      <c r="R39">
        <v>161.64486238506223</v>
      </c>
      <c r="S39">
        <v>1.4363022584011267</v>
      </c>
      <c r="T39">
        <v>2.3588391357781227</v>
      </c>
      <c r="U39">
        <v>29.717767715454102</v>
      </c>
      <c r="V39">
        <v>399.96140000000003</v>
      </c>
      <c r="W39">
        <v>14.171900000000001</v>
      </c>
      <c r="X39">
        <v>44.522300000000001</v>
      </c>
      <c r="Y39">
        <v>0.43309999999999998</v>
      </c>
      <c r="Z39">
        <v>407.7602</v>
      </c>
      <c r="AA39">
        <v>0.48199999999999998</v>
      </c>
      <c r="AB39">
        <v>1617</v>
      </c>
      <c r="AD39" s="3" t="s">
        <v>223</v>
      </c>
      <c r="AE39" s="3">
        <v>3</v>
      </c>
      <c r="AF39">
        <v>70.5</v>
      </c>
      <c r="AG39">
        <v>3</v>
      </c>
      <c r="AH39">
        <v>12</v>
      </c>
      <c r="AI39">
        <v>48.3</v>
      </c>
      <c r="AJ39">
        <v>36.1</v>
      </c>
      <c r="AK39">
        <v>0.7</v>
      </c>
      <c r="AL39">
        <v>0.5</v>
      </c>
      <c r="AM39">
        <v>450.8</v>
      </c>
      <c r="AN39">
        <v>183.4</v>
      </c>
      <c r="AO39">
        <v>0.79</v>
      </c>
      <c r="AP39">
        <v>0.65</v>
      </c>
      <c r="AQ39">
        <v>7.5209999999999999</v>
      </c>
      <c r="AR39">
        <v>2.0110000000000001</v>
      </c>
      <c r="AS39">
        <v>12.78</v>
      </c>
      <c r="AT39">
        <v>3.415</v>
      </c>
      <c r="AU39">
        <v>76.900000000000006</v>
      </c>
      <c r="AV39">
        <v>17</v>
      </c>
      <c r="AW39">
        <v>44</v>
      </c>
      <c r="AX39">
        <v>52</v>
      </c>
      <c r="AY39">
        <v>30.4</v>
      </c>
      <c r="AZ39">
        <v>0.7</v>
      </c>
      <c r="BA39">
        <v>0.7</v>
      </c>
      <c r="BB39">
        <v>270.5</v>
      </c>
      <c r="BC39">
        <v>211.3</v>
      </c>
      <c r="BD39">
        <v>0.85</v>
      </c>
      <c r="BE39">
        <v>0.84</v>
      </c>
      <c r="BF39">
        <v>23.79</v>
      </c>
      <c r="BG39">
        <v>10.872999999999999</v>
      </c>
      <c r="BH39">
        <v>10.141</v>
      </c>
      <c r="BI39">
        <v>2.9870000000000001</v>
      </c>
      <c r="BJ39">
        <v>26.159051705507558</v>
      </c>
      <c r="BK39">
        <v>4.2537906478320606E-2</v>
      </c>
      <c r="BL39">
        <v>179.90612885935425</v>
      </c>
      <c r="BM39">
        <v>15.301507340268733</v>
      </c>
      <c r="BN39">
        <v>34.439528875010055</v>
      </c>
      <c r="BO39">
        <v>72.641017150878909</v>
      </c>
      <c r="BP39">
        <v>12.193125363038661</v>
      </c>
      <c r="BQ39">
        <v>7.4839427260416647E-3</v>
      </c>
      <c r="BR39">
        <v>227.04755141989011</v>
      </c>
      <c r="BS39">
        <v>2.499549166526768</v>
      </c>
      <c r="BT39">
        <v>27.21999309753329</v>
      </c>
      <c r="BU39">
        <v>69.038223266601563</v>
      </c>
      <c r="BV39">
        <v>21.064809085836174</v>
      </c>
      <c r="BW39">
        <v>5.8258738987769489E-2</v>
      </c>
      <c r="BX39">
        <v>241.87783398821284</v>
      </c>
      <c r="BY39">
        <v>16.661264293077988</v>
      </c>
      <c r="BZ39">
        <v>23.812631549048405</v>
      </c>
      <c r="CA39">
        <v>66.889158630371099</v>
      </c>
      <c r="CB39">
        <v>15.573106528038647</v>
      </c>
      <c r="CC39">
        <v>4.5793669932124748E-2</v>
      </c>
      <c r="CD39">
        <v>248.35329310851566</v>
      </c>
      <c r="CE39">
        <v>13.101970350667631</v>
      </c>
      <c r="CF39">
        <v>23.806851903959263</v>
      </c>
      <c r="CG39">
        <v>66.738075256347656</v>
      </c>
      <c r="CH39">
        <v>431.49380000000002</v>
      </c>
      <c r="CI39">
        <v>66.461500000000001</v>
      </c>
      <c r="CJ39">
        <v>208.79509999999999</v>
      </c>
      <c r="CK39">
        <v>1.5403</v>
      </c>
      <c r="CL39">
        <v>431.49380000000002</v>
      </c>
      <c r="CM39">
        <v>8.0399999999999991</v>
      </c>
      <c r="CN39">
        <v>1474</v>
      </c>
      <c r="CW39">
        <v>79.3</v>
      </c>
      <c r="CX39">
        <v>4</v>
      </c>
      <c r="CY39">
        <v>15</v>
      </c>
      <c r="CZ39">
        <v>22.8</v>
      </c>
      <c r="DA39">
        <v>27</v>
      </c>
      <c r="DB39">
        <v>0.7</v>
      </c>
      <c r="DC39">
        <v>0.8</v>
      </c>
      <c r="DD39">
        <v>317.91672043974671</v>
      </c>
      <c r="DE39">
        <v>248.31981629108327</v>
      </c>
      <c r="DF39">
        <v>0.82</v>
      </c>
      <c r="DG39">
        <v>0.67</v>
      </c>
      <c r="DH39">
        <v>19.337</v>
      </c>
      <c r="DI39">
        <v>14.612</v>
      </c>
      <c r="DJ39">
        <v>7.9859999999999998</v>
      </c>
      <c r="DK39">
        <v>5.0119999999999996</v>
      </c>
      <c r="DL39">
        <v>105.6</v>
      </c>
      <c r="DM39">
        <v>26</v>
      </c>
      <c r="DN39">
        <v>95</v>
      </c>
      <c r="DO39">
        <v>29.5</v>
      </c>
      <c r="DP39">
        <v>35</v>
      </c>
      <c r="DQ39">
        <v>0.9</v>
      </c>
      <c r="DR39">
        <v>0.9</v>
      </c>
      <c r="DS39">
        <v>370.11739176845447</v>
      </c>
      <c r="DT39">
        <v>349.00087837415651</v>
      </c>
      <c r="DU39">
        <v>0.85</v>
      </c>
      <c r="DV39">
        <v>0.84</v>
      </c>
      <c r="DW39">
        <v>48.960999999999999</v>
      </c>
      <c r="DX39">
        <v>25.611999999999998</v>
      </c>
      <c r="DY39">
        <v>12.984999999999999</v>
      </c>
      <c r="DZ39">
        <v>9.6419999999999995</v>
      </c>
      <c r="EB39">
        <v>21.064809085836174</v>
      </c>
      <c r="EC39">
        <v>5.8258738987769489E-2</v>
      </c>
      <c r="ED39">
        <v>241.87783398821284</v>
      </c>
      <c r="EE39">
        <v>16.661264293077988</v>
      </c>
      <c r="EF39">
        <v>23.812631549048405</v>
      </c>
      <c r="EG39">
        <v>66.889158630371099</v>
      </c>
      <c r="EH39">
        <v>15.573106528038647</v>
      </c>
      <c r="EI39">
        <v>4.5793669932124748E-2</v>
      </c>
      <c r="EJ39">
        <v>248.35329310851566</v>
      </c>
      <c r="EK39">
        <v>13.101970350667631</v>
      </c>
      <c r="EL39">
        <v>23.806851903959263</v>
      </c>
      <c r="EM39">
        <v>66.738075256347656</v>
      </c>
      <c r="EO39">
        <v>22.649179240827916</v>
      </c>
      <c r="EP39">
        <v>3.642887370637915E-2</v>
      </c>
      <c r="EQ39">
        <v>272.23626682282952</v>
      </c>
      <c r="ER39">
        <v>10.409295522413498</v>
      </c>
      <c r="ES39">
        <v>23.879738173993339</v>
      </c>
      <c r="ET39">
        <v>66.878170776367185</v>
      </c>
      <c r="EU39">
        <v>20.898162146455576</v>
      </c>
      <c r="EV39">
        <v>3.7146481531434662E-2</v>
      </c>
      <c r="EW39">
        <v>274.41290669100846</v>
      </c>
      <c r="EX39">
        <v>10.514248577263176</v>
      </c>
      <c r="EY39">
        <v>23.654916027670584</v>
      </c>
      <c r="EZ39">
        <v>66.750492858886716</v>
      </c>
      <c r="FB39">
        <v>0.2636</v>
      </c>
      <c r="FC39">
        <v>169.1885</v>
      </c>
      <c r="FD39">
        <v>531.52149999999995</v>
      </c>
      <c r="FE39">
        <v>6417.9645</v>
      </c>
      <c r="FF39">
        <v>0.2636</v>
      </c>
      <c r="FG39">
        <v>85282.150999999998</v>
      </c>
      <c r="FH39">
        <v>1081</v>
      </c>
      <c r="FI39">
        <v>1356.3798999999999</v>
      </c>
      <c r="FJ39">
        <v>141.37119999999999</v>
      </c>
      <c r="FK39">
        <v>444.13075000000003</v>
      </c>
      <c r="FL39">
        <v>1.1107</v>
      </c>
      <c r="FM39">
        <v>1356.3798999999999</v>
      </c>
      <c r="FN39">
        <v>12.2155</v>
      </c>
      <c r="FO39">
        <v>4901.5</v>
      </c>
      <c r="FQ39">
        <v>14.6</v>
      </c>
      <c r="FR39">
        <v>0.8</v>
      </c>
      <c r="FS39">
        <v>335.15422333859686</v>
      </c>
      <c r="FT39">
        <v>0.82</v>
      </c>
      <c r="FU39">
        <v>27</v>
      </c>
      <c r="FV39">
        <v>1.4</v>
      </c>
      <c r="FW39">
        <v>356.59962632674217</v>
      </c>
      <c r="FX39">
        <v>0.81</v>
      </c>
      <c r="FY39">
        <v>20.558017644197889</v>
      </c>
      <c r="FZ39">
        <v>0.30946174718245029</v>
      </c>
      <c r="GA39">
        <v>298.23742068838885</v>
      </c>
      <c r="GB39">
        <v>12.396336069958378</v>
      </c>
      <c r="GC39">
        <v>3.9854267887769721</v>
      </c>
      <c r="GD39">
        <v>40.418479919433594</v>
      </c>
      <c r="GF39">
        <v>17.34648561072229</v>
      </c>
      <c r="GG39">
        <v>0.32225480846023513</v>
      </c>
      <c r="GH39">
        <v>327.87812384617507</v>
      </c>
      <c r="GI39">
        <v>10.416450244014676</v>
      </c>
      <c r="GJ39">
        <v>3.2303990715539763</v>
      </c>
      <c r="GK39">
        <v>37.861042022705078</v>
      </c>
      <c r="GM39">
        <v>83</v>
      </c>
      <c r="GN39">
        <v>87</v>
      </c>
      <c r="GO39">
        <v>118</v>
      </c>
      <c r="GP39">
        <v>87</v>
      </c>
      <c r="GQ39">
        <v>92</v>
      </c>
      <c r="GR39">
        <v>124</v>
      </c>
      <c r="GT39">
        <v>112</v>
      </c>
      <c r="GU39">
        <v>16</v>
      </c>
      <c r="GV39">
        <v>11</v>
      </c>
      <c r="GW39">
        <v>61.95</v>
      </c>
      <c r="GX39">
        <v>38.950000000000003</v>
      </c>
      <c r="GY39">
        <v>13.97</v>
      </c>
      <c r="GZ39">
        <v>14.87</v>
      </c>
      <c r="HB39">
        <v>97</v>
      </c>
      <c r="HC39">
        <v>5</v>
      </c>
      <c r="HD39">
        <v>3</v>
      </c>
      <c r="HE39">
        <v>32.450000000000003</v>
      </c>
      <c r="HF39">
        <v>19.95</v>
      </c>
      <c r="HG39">
        <v>7.98</v>
      </c>
      <c r="HH39">
        <v>14.27</v>
      </c>
    </row>
    <row r="40" spans="1:216" x14ac:dyDescent="0.25">
      <c r="A40" t="s">
        <v>203</v>
      </c>
      <c r="B40" s="1" t="s">
        <v>217</v>
      </c>
      <c r="C40" s="3" t="s">
        <v>222</v>
      </c>
      <c r="D40" s="3">
        <v>1</v>
      </c>
      <c r="E40" s="6">
        <v>47.8</v>
      </c>
      <c r="F40" s="6">
        <v>0</v>
      </c>
      <c r="G40" s="6">
        <v>3</v>
      </c>
      <c r="H40" s="6">
        <v>28.7</v>
      </c>
      <c r="I40" s="6">
        <v>0.7</v>
      </c>
      <c r="J40" s="6">
        <v>16.5</v>
      </c>
      <c r="K40" s="6">
        <v>0.1</v>
      </c>
      <c r="L40">
        <v>0.379</v>
      </c>
      <c r="M40">
        <v>0.215</v>
      </c>
      <c r="N40">
        <v>0.125</v>
      </c>
      <c r="O40">
        <v>7.8E-2</v>
      </c>
      <c r="P40">
        <v>8.1613833611233932</v>
      </c>
      <c r="Q40">
        <v>5.6874110763450135E-2</v>
      </c>
      <c r="R40">
        <v>121.53313804416729</v>
      </c>
      <c r="S40">
        <v>1.2964071128662624</v>
      </c>
      <c r="T40">
        <v>2.1855387810564935</v>
      </c>
      <c r="U40">
        <v>27.981189727783203</v>
      </c>
      <c r="V40">
        <v>327.22609999999997</v>
      </c>
      <c r="W40">
        <v>16.443899999999999</v>
      </c>
      <c r="X40">
        <v>51.660200000000003</v>
      </c>
      <c r="Y40">
        <v>0.47270000000000001</v>
      </c>
      <c r="Z40">
        <v>347.8707</v>
      </c>
      <c r="AA40">
        <v>0.61</v>
      </c>
      <c r="AB40">
        <v>1480</v>
      </c>
      <c r="AC40" s="1" t="s">
        <v>217</v>
      </c>
      <c r="AD40" s="3" t="s">
        <v>223</v>
      </c>
      <c r="AE40" s="3">
        <v>1</v>
      </c>
      <c r="AF40">
        <v>44.5</v>
      </c>
      <c r="AG40">
        <v>4</v>
      </c>
      <c r="AH40">
        <v>10</v>
      </c>
      <c r="AI40">
        <v>30.1</v>
      </c>
      <c r="AJ40">
        <v>26.1</v>
      </c>
      <c r="AK40">
        <v>0.8</v>
      </c>
      <c r="AL40">
        <v>0.6</v>
      </c>
      <c r="AM40">
        <v>395.7</v>
      </c>
      <c r="AN40">
        <v>234.7</v>
      </c>
      <c r="AO40">
        <v>0.7</v>
      </c>
      <c r="AP40">
        <v>0.59</v>
      </c>
      <c r="AQ40">
        <v>6.3479999999999999</v>
      </c>
      <c r="AR40">
        <v>2.0870000000000002</v>
      </c>
      <c r="AS40">
        <v>6.14</v>
      </c>
      <c r="AT40">
        <v>2.113</v>
      </c>
      <c r="AU40">
        <v>45</v>
      </c>
      <c r="AV40">
        <v>9</v>
      </c>
      <c r="AW40">
        <v>30</v>
      </c>
      <c r="AX40">
        <v>30.8</v>
      </c>
      <c r="AY40">
        <v>25</v>
      </c>
      <c r="AZ40">
        <v>0.9</v>
      </c>
      <c r="BA40">
        <v>0.9</v>
      </c>
      <c r="BB40">
        <v>414</v>
      </c>
      <c r="BC40">
        <v>360.1</v>
      </c>
      <c r="BD40">
        <v>0.85</v>
      </c>
      <c r="BE40">
        <v>0.83</v>
      </c>
      <c r="BF40">
        <v>9.4610000000000003</v>
      </c>
      <c r="BG40">
        <v>3.6520000000000001</v>
      </c>
      <c r="BH40">
        <v>8.673</v>
      </c>
      <c r="BI40">
        <v>2.512</v>
      </c>
      <c r="BJ40">
        <v>21.900448850628987</v>
      </c>
      <c r="BK40">
        <v>2.7277620646645285E-2</v>
      </c>
      <c r="BL40">
        <v>150.51628341592996</v>
      </c>
      <c r="BM40">
        <v>11.041339078760926</v>
      </c>
      <c r="BN40">
        <v>41.113322697176073</v>
      </c>
      <c r="BO40">
        <v>75.593886057535812</v>
      </c>
      <c r="BP40">
        <v>9.9843528984838272</v>
      </c>
      <c r="BQ40">
        <v>6.4952342155056107E-3</v>
      </c>
      <c r="BR40">
        <v>111.26762728262304</v>
      </c>
      <c r="BS40">
        <v>3.5289426440253222</v>
      </c>
      <c r="BT40">
        <v>50.528054585453802</v>
      </c>
      <c r="BU40">
        <v>80.632031249999997</v>
      </c>
      <c r="BV40">
        <v>24.009917194206636</v>
      </c>
      <c r="BW40">
        <v>4.4941963643446325E-2</v>
      </c>
      <c r="BX40">
        <v>138.48969058933938</v>
      </c>
      <c r="BY40">
        <v>21.190041230613531</v>
      </c>
      <c r="BZ40">
        <v>43.324877265948189</v>
      </c>
      <c r="CA40">
        <v>78.127279663085943</v>
      </c>
      <c r="CB40">
        <v>25.276446847368724</v>
      </c>
      <c r="CC40">
        <v>3.8877401808268555E-2</v>
      </c>
      <c r="CD40">
        <v>125.08890444656322</v>
      </c>
      <c r="CE40">
        <v>21.816725214456472</v>
      </c>
      <c r="CF40">
        <v>45.471722753297556</v>
      </c>
      <c r="CG40">
        <v>79.986524963378912</v>
      </c>
      <c r="CH40">
        <v>378.71749999999997</v>
      </c>
      <c r="CI40">
        <v>47.962899999999998</v>
      </c>
      <c r="CJ40">
        <v>150.6799</v>
      </c>
      <c r="CK40">
        <v>1.2665</v>
      </c>
      <c r="CL40">
        <v>378.71749999999997</v>
      </c>
      <c r="CM40">
        <v>4.7709999999999999</v>
      </c>
      <c r="CN40">
        <v>1555</v>
      </c>
      <c r="CO40">
        <v>321.03093333333328</v>
      </c>
      <c r="CP40">
        <v>35.363866666666667</v>
      </c>
      <c r="CQ40">
        <v>111.09883333333333</v>
      </c>
      <c r="CR40">
        <v>1.0684333333333333</v>
      </c>
      <c r="CS40">
        <v>321.03093333333328</v>
      </c>
      <c r="CT40">
        <v>3.1379999999999999</v>
      </c>
      <c r="CU40">
        <v>1609</v>
      </c>
      <c r="CW40">
        <v>63</v>
      </c>
      <c r="CX40">
        <v>7</v>
      </c>
      <c r="CY40">
        <v>27</v>
      </c>
      <c r="CZ40">
        <v>20.6</v>
      </c>
      <c r="DA40">
        <v>19</v>
      </c>
      <c r="DB40">
        <v>0.8</v>
      </c>
      <c r="DC40">
        <v>0.7</v>
      </c>
      <c r="DD40">
        <v>237.79100293805442</v>
      </c>
      <c r="DE40">
        <v>223.47693733169802</v>
      </c>
      <c r="DF40">
        <v>0.79</v>
      </c>
      <c r="DG40">
        <v>0.67</v>
      </c>
      <c r="DH40">
        <v>25.725000000000001</v>
      </c>
      <c r="DI40">
        <v>19.875</v>
      </c>
      <c r="DJ40">
        <v>10.951000000000001</v>
      </c>
      <c r="DK40">
        <v>6.7850000000000001</v>
      </c>
      <c r="DL40">
        <v>81.3</v>
      </c>
      <c r="DM40">
        <v>14</v>
      </c>
      <c r="DN40">
        <v>62</v>
      </c>
      <c r="DO40">
        <v>21.6</v>
      </c>
      <c r="DP40">
        <v>25.5</v>
      </c>
      <c r="DQ40">
        <v>0.9</v>
      </c>
      <c r="DR40">
        <v>0.9</v>
      </c>
      <c r="DS40">
        <v>336.70380810358051</v>
      </c>
      <c r="DT40">
        <v>303.53644511018535</v>
      </c>
      <c r="DU40">
        <v>0.85</v>
      </c>
      <c r="DV40">
        <v>0.83</v>
      </c>
      <c r="DW40">
        <v>54.612000000000002</v>
      </c>
      <c r="DX40">
        <v>29.815999999999999</v>
      </c>
      <c r="DY40">
        <v>15.964</v>
      </c>
      <c r="DZ40">
        <v>10.542</v>
      </c>
      <c r="EB40">
        <v>25.855283095498397</v>
      </c>
      <c r="EC40">
        <v>4.0576295411335304E-2</v>
      </c>
      <c r="ED40">
        <v>134.25269413179595</v>
      </c>
      <c r="EE40">
        <v>22.510257352560807</v>
      </c>
      <c r="EF40">
        <v>43.424338535144081</v>
      </c>
      <c r="EG40">
        <v>79.200436401367185</v>
      </c>
      <c r="EH40">
        <v>24.009917194206636</v>
      </c>
      <c r="EI40">
        <v>4.4941963643446325E-2</v>
      </c>
      <c r="EJ40">
        <v>138.48969058933938</v>
      </c>
      <c r="EK40">
        <v>21.190041230613531</v>
      </c>
      <c r="EL40">
        <v>43.324877265948189</v>
      </c>
      <c r="EM40">
        <v>78.127279663085943</v>
      </c>
      <c r="EO40">
        <v>32.482815828288118</v>
      </c>
      <c r="EP40">
        <v>7.1004540662269716E-2</v>
      </c>
      <c r="EQ40">
        <v>291.29907506892141</v>
      </c>
      <c r="ER40">
        <v>15.774194113290354</v>
      </c>
      <c r="ES40">
        <v>19.154183797059968</v>
      </c>
      <c r="ET40">
        <v>63.032543945312497</v>
      </c>
      <c r="EU40">
        <v>24.889405723907903</v>
      </c>
      <c r="EV40">
        <v>6.200342538726232E-2</v>
      </c>
      <c r="EW40">
        <v>294.80277804694168</v>
      </c>
      <c r="EX40">
        <v>14.415643560523838</v>
      </c>
      <c r="EY40">
        <v>19.928340756787215</v>
      </c>
      <c r="EZ40">
        <v>63.65948486328125</v>
      </c>
      <c r="FB40">
        <v>468.63310000000001</v>
      </c>
      <c r="FC40">
        <v>214.3612</v>
      </c>
      <c r="FD40">
        <v>673.4357</v>
      </c>
      <c r="FE40">
        <v>4.5742000000000003</v>
      </c>
      <c r="FF40">
        <v>468.63310000000001</v>
      </c>
      <c r="FG40">
        <v>77.010000000000005</v>
      </c>
      <c r="FH40">
        <v>4663</v>
      </c>
      <c r="FI40">
        <v>838.47699999999998</v>
      </c>
      <c r="FJ40">
        <v>205.9759</v>
      </c>
      <c r="FK40">
        <v>647.09230000000002</v>
      </c>
      <c r="FL40">
        <v>2.4565000000000001</v>
      </c>
      <c r="FM40">
        <v>838.47699999999998</v>
      </c>
      <c r="FN40">
        <v>39.74</v>
      </c>
      <c r="FO40">
        <v>4367</v>
      </c>
      <c r="FQ40">
        <v>12.7</v>
      </c>
      <c r="FR40">
        <v>0.7</v>
      </c>
      <c r="FS40">
        <v>250.0583404469736</v>
      </c>
      <c r="FT40">
        <v>0.83</v>
      </c>
      <c r="FU40">
        <v>16.100000000000001</v>
      </c>
      <c r="FV40">
        <v>1</v>
      </c>
      <c r="FW40">
        <v>452.98510665237518</v>
      </c>
      <c r="FX40">
        <v>0.82</v>
      </c>
      <c r="FY40">
        <v>25.605242409875185</v>
      </c>
      <c r="FZ40">
        <v>0.71453633845948206</v>
      </c>
      <c r="GA40">
        <v>344.54985098522542</v>
      </c>
      <c r="GB40">
        <v>20.019568958740422</v>
      </c>
      <c r="GC40">
        <v>3.0419534270018866</v>
      </c>
      <c r="GD40">
        <v>39.084537506103516</v>
      </c>
      <c r="GF40">
        <v>23.576107732022702</v>
      </c>
      <c r="GG40">
        <v>0.34567759705150247</v>
      </c>
      <c r="GH40">
        <v>299.14520725843573</v>
      </c>
      <c r="GI40">
        <v>11.94762386645824</v>
      </c>
      <c r="GJ40">
        <v>3.4638022645476894</v>
      </c>
      <c r="GK40">
        <v>38.721485137939453</v>
      </c>
      <c r="GM40">
        <v>80</v>
      </c>
      <c r="GN40">
        <v>84</v>
      </c>
      <c r="GO40">
        <v>118</v>
      </c>
      <c r="GP40">
        <v>83</v>
      </c>
      <c r="GQ40">
        <v>88</v>
      </c>
      <c r="GR40">
        <v>118</v>
      </c>
      <c r="GT40">
        <v>63.5</v>
      </c>
      <c r="GU40">
        <v>16</v>
      </c>
      <c r="GV40">
        <v>9</v>
      </c>
      <c r="GW40">
        <v>64.02</v>
      </c>
      <c r="GX40">
        <v>39.47</v>
      </c>
      <c r="GY40">
        <v>18.989999999999998</v>
      </c>
      <c r="GZ40">
        <v>17.329999999999998</v>
      </c>
      <c r="HB40">
        <v>69</v>
      </c>
      <c r="HC40">
        <v>5</v>
      </c>
      <c r="HD40">
        <v>4</v>
      </c>
      <c r="HE40">
        <v>38.75</v>
      </c>
      <c r="HF40">
        <v>19.52</v>
      </c>
      <c r="HG40">
        <v>9.5500000000000007</v>
      </c>
      <c r="HH40">
        <v>14.32</v>
      </c>
    </row>
    <row r="41" spans="1:216" x14ac:dyDescent="0.25">
      <c r="B41" s="1" t="s">
        <v>217</v>
      </c>
      <c r="C41" s="3" t="s">
        <v>222</v>
      </c>
      <c r="D41" s="3">
        <v>2</v>
      </c>
      <c r="E41" s="6">
        <v>48.5</v>
      </c>
      <c r="F41" s="6">
        <v>0</v>
      </c>
      <c r="G41" s="6">
        <v>3</v>
      </c>
      <c r="H41" s="6">
        <v>29.1</v>
      </c>
      <c r="I41" s="6">
        <v>0.5</v>
      </c>
      <c r="J41" s="6">
        <v>17.899999999999999</v>
      </c>
      <c r="K41" s="6">
        <v>0.12</v>
      </c>
      <c r="L41">
        <v>0.36799999999999999</v>
      </c>
      <c r="M41">
        <v>0.19500000000000001</v>
      </c>
      <c r="N41">
        <v>0.11899999999999999</v>
      </c>
      <c r="O41">
        <v>7.5999999999999998E-2</v>
      </c>
      <c r="P41">
        <v>8.4087695252303654</v>
      </c>
      <c r="Q41">
        <v>5.7396590904683735E-2</v>
      </c>
      <c r="R41">
        <v>116.72528731314335</v>
      </c>
      <c r="S41">
        <v>1.3081753662401172</v>
      </c>
      <c r="T41">
        <v>2.1855331996331202</v>
      </c>
      <c r="U41">
        <v>27.980722427368164</v>
      </c>
      <c r="V41">
        <v>347.8707</v>
      </c>
      <c r="W41">
        <v>15.553900000000001</v>
      </c>
      <c r="X41">
        <v>51.546300000000002</v>
      </c>
      <c r="Y41">
        <v>0.3639</v>
      </c>
      <c r="Z41">
        <v>314.79480000000001</v>
      </c>
      <c r="AA41">
        <v>0.54500000000000004</v>
      </c>
      <c r="AB41">
        <v>1417</v>
      </c>
      <c r="AD41" s="3" t="s">
        <v>223</v>
      </c>
      <c r="AE41" s="3">
        <v>2</v>
      </c>
      <c r="AF41">
        <v>39.4</v>
      </c>
      <c r="AG41">
        <v>4</v>
      </c>
      <c r="AH41">
        <v>13</v>
      </c>
      <c r="AI41">
        <v>25.3</v>
      </c>
      <c r="AJ41">
        <v>20.3</v>
      </c>
      <c r="AK41">
        <v>0.8</v>
      </c>
      <c r="AL41">
        <v>0.7</v>
      </c>
      <c r="AM41">
        <v>408.7</v>
      </c>
      <c r="AN41">
        <v>273.7</v>
      </c>
      <c r="AO41">
        <v>0.73</v>
      </c>
      <c r="AP41">
        <v>0.62</v>
      </c>
      <c r="AQ41">
        <v>5.9820000000000002</v>
      </c>
      <c r="AR41">
        <v>2.1120000000000001</v>
      </c>
      <c r="AS41">
        <v>4.21</v>
      </c>
      <c r="AT41">
        <v>1.1000000000000001</v>
      </c>
      <c r="AU41">
        <v>41.8</v>
      </c>
      <c r="AV41">
        <v>9</v>
      </c>
      <c r="AW41">
        <v>29</v>
      </c>
      <c r="AX41">
        <v>25.5</v>
      </c>
      <c r="AY41">
        <v>22</v>
      </c>
      <c r="AZ41">
        <v>0.9</v>
      </c>
      <c r="BA41">
        <v>0.8</v>
      </c>
      <c r="BB41">
        <v>396.7</v>
      </c>
      <c r="BC41">
        <v>390.7</v>
      </c>
      <c r="BD41">
        <v>0.83</v>
      </c>
      <c r="BE41">
        <v>0.81</v>
      </c>
      <c r="BF41">
        <v>11.981</v>
      </c>
      <c r="BG41">
        <v>5.1289999999999996</v>
      </c>
      <c r="BH41">
        <v>10.131</v>
      </c>
      <c r="BI41">
        <v>3.0950000000000002</v>
      </c>
      <c r="BJ41">
        <v>35.962776679686399</v>
      </c>
      <c r="BK41">
        <v>8.0019895758094262E-2</v>
      </c>
      <c r="BL41">
        <v>223.92593469664547</v>
      </c>
      <c r="BM41">
        <v>21.69991153353644</v>
      </c>
      <c r="BN41">
        <v>22.808028136223275</v>
      </c>
      <c r="BO41">
        <v>66.293681335449222</v>
      </c>
      <c r="BP41">
        <v>21.180440446936327</v>
      </c>
      <c r="BQ41">
        <v>1.6685125850792484E-2</v>
      </c>
      <c r="BR41">
        <v>115.05307285139197</v>
      </c>
      <c r="BS41">
        <v>8.1688668271936056</v>
      </c>
      <c r="BT41">
        <v>48.936501190832011</v>
      </c>
      <c r="BU41">
        <v>79.536773681640625</v>
      </c>
      <c r="BV41">
        <v>23.85081971787087</v>
      </c>
      <c r="BW41">
        <v>3.9277071288617342E-2</v>
      </c>
      <c r="BX41">
        <v>148.6594239509113</v>
      </c>
      <c r="BY41">
        <v>20.147412311185271</v>
      </c>
      <c r="BZ41">
        <v>40.976187538085348</v>
      </c>
      <c r="CA41">
        <v>77.761155700683588</v>
      </c>
      <c r="CB41">
        <v>14.381759928255358</v>
      </c>
      <c r="CC41">
        <v>3.5061795989626145E-2</v>
      </c>
      <c r="CD41">
        <v>185.22246865001156</v>
      </c>
      <c r="CE41">
        <v>12.959011378872177</v>
      </c>
      <c r="CF41">
        <v>35.921478993475787</v>
      </c>
      <c r="CG41">
        <v>73.518202209472662</v>
      </c>
      <c r="CH41">
        <v>243.35290000000001</v>
      </c>
      <c r="CI41">
        <v>19.908999999999999</v>
      </c>
      <c r="CJ41">
        <v>62.545900000000003</v>
      </c>
      <c r="CK41">
        <v>0.81810000000000005</v>
      </c>
      <c r="CL41">
        <v>243.35290000000001</v>
      </c>
      <c r="CM41">
        <v>1.2789999999999999</v>
      </c>
      <c r="CN41">
        <v>1633</v>
      </c>
      <c r="CO41">
        <v>225.19343333333336</v>
      </c>
      <c r="CP41">
        <v>29.974999999999998</v>
      </c>
      <c r="CQ41">
        <v>94.169233333333338</v>
      </c>
      <c r="CR41">
        <v>1.3444</v>
      </c>
      <c r="CS41">
        <v>225.19343333333336</v>
      </c>
      <c r="CT41">
        <v>3.1483333333333334</v>
      </c>
      <c r="CU41">
        <v>845.33333333333337</v>
      </c>
      <c r="CW41">
        <v>66.900000000000006</v>
      </c>
      <c r="CX41">
        <v>10</v>
      </c>
      <c r="CY41">
        <v>39</v>
      </c>
      <c r="CZ41">
        <v>18.3</v>
      </c>
      <c r="DA41">
        <v>22.3</v>
      </c>
      <c r="DB41">
        <v>0.8</v>
      </c>
      <c r="DC41">
        <v>0.7</v>
      </c>
      <c r="DD41">
        <v>265.50736704822253</v>
      </c>
      <c r="DE41">
        <v>219.84604286850833</v>
      </c>
      <c r="DF41">
        <v>0.73</v>
      </c>
      <c r="DG41">
        <v>0.62</v>
      </c>
      <c r="DH41">
        <v>31.113</v>
      </c>
      <c r="DI41">
        <v>18.577999999999999</v>
      </c>
      <c r="DJ41">
        <v>10.772</v>
      </c>
      <c r="DK41">
        <v>7.0119999999999996</v>
      </c>
      <c r="DL41">
        <v>81.5</v>
      </c>
      <c r="DM41">
        <v>11</v>
      </c>
      <c r="DN41">
        <v>42</v>
      </c>
      <c r="DO41">
        <v>25.8</v>
      </c>
      <c r="DP41">
        <v>25</v>
      </c>
      <c r="DQ41">
        <v>0.9</v>
      </c>
      <c r="DR41">
        <v>0.9</v>
      </c>
      <c r="DS41">
        <v>341.33575671196724</v>
      </c>
      <c r="DT41">
        <v>293.80097377795926</v>
      </c>
      <c r="DU41">
        <v>0.83</v>
      </c>
      <c r="DV41">
        <v>0.81</v>
      </c>
      <c r="DW41">
        <v>50.131999999999998</v>
      </c>
      <c r="DX41">
        <v>30.962</v>
      </c>
      <c r="DY41">
        <v>17.538</v>
      </c>
      <c r="DZ41">
        <v>11.512</v>
      </c>
      <c r="EB41">
        <v>24.697610599239056</v>
      </c>
      <c r="EC41">
        <v>3.7178508205201799E-2</v>
      </c>
      <c r="ED41">
        <v>115.92511476133049</v>
      </c>
      <c r="EE41">
        <v>21.123193076352134</v>
      </c>
      <c r="EF41">
        <v>47.519106971451045</v>
      </c>
      <c r="EG41">
        <v>80.772613525390625</v>
      </c>
      <c r="EH41">
        <v>23.85081971787087</v>
      </c>
      <c r="EI41">
        <v>3.9277071288617342E-2</v>
      </c>
      <c r="EJ41">
        <v>148.6594239509113</v>
      </c>
      <c r="EK41">
        <v>20.147412311185271</v>
      </c>
      <c r="EL41">
        <v>40.976187538085348</v>
      </c>
      <c r="EM41">
        <v>77.761155700683588</v>
      </c>
      <c r="EO41">
        <v>26.429293391315813</v>
      </c>
      <c r="EP41">
        <v>6.5174457827193985E-2</v>
      </c>
      <c r="EQ41">
        <v>293.00774550760531</v>
      </c>
      <c r="ER41">
        <v>15.217448759290134</v>
      </c>
      <c r="ES41">
        <v>20.017972671789856</v>
      </c>
      <c r="ET41">
        <v>63.741100311279297</v>
      </c>
      <c r="EU41">
        <v>18.288683299328405</v>
      </c>
      <c r="EV41">
        <v>5.5613319394024599E-2</v>
      </c>
      <c r="EW41">
        <v>299.30522954277103</v>
      </c>
      <c r="EX41">
        <v>13.245635464263199</v>
      </c>
      <c r="EY41">
        <v>20.357148199378607</v>
      </c>
      <c r="EZ41">
        <v>63.970217895507815</v>
      </c>
      <c r="FB41">
        <v>1235.4348</v>
      </c>
      <c r="FC41">
        <v>193.32220000000001</v>
      </c>
      <c r="FD41">
        <v>607.33969999999999</v>
      </c>
      <c r="FE41">
        <v>1.5648</v>
      </c>
      <c r="FF41">
        <v>1235.4348</v>
      </c>
      <c r="FG41">
        <v>23.759</v>
      </c>
      <c r="FH41">
        <v>6837</v>
      </c>
      <c r="FI41">
        <v>588.85829999999999</v>
      </c>
      <c r="FJ41">
        <v>71.339799999999997</v>
      </c>
      <c r="FK41">
        <v>224.1206</v>
      </c>
      <c r="FL41">
        <v>1.2115</v>
      </c>
      <c r="FM41">
        <v>588.85829999999999</v>
      </c>
      <c r="FN41">
        <v>6.7880000000000003</v>
      </c>
      <c r="FO41">
        <v>2057</v>
      </c>
      <c r="FQ41">
        <v>13</v>
      </c>
      <c r="FR41">
        <v>0.9</v>
      </c>
      <c r="FS41">
        <v>265.50736704822253</v>
      </c>
      <c r="FT41">
        <v>0.82</v>
      </c>
      <c r="FU41">
        <v>16</v>
      </c>
      <c r="FV41">
        <v>1</v>
      </c>
      <c r="FW41">
        <v>450.23517831401125</v>
      </c>
      <c r="FX41">
        <v>0.82</v>
      </c>
      <c r="FY41">
        <v>25.685206686730606</v>
      </c>
      <c r="FZ41">
        <v>0.71288969938460989</v>
      </c>
      <c r="GA41">
        <v>344.18778122858578</v>
      </c>
      <c r="GB41">
        <v>20.002820164267717</v>
      </c>
      <c r="GC41">
        <v>3.0453688240522592</v>
      </c>
      <c r="GD41">
        <v>39.091114044189453</v>
      </c>
      <c r="GF41">
        <v>23.445470797587305</v>
      </c>
      <c r="GG41">
        <v>0.34548535394000646</v>
      </c>
      <c r="GH41">
        <v>299.74837318352212</v>
      </c>
      <c r="GI41">
        <v>11.945020542922469</v>
      </c>
      <c r="GJ41">
        <v>3.4648217940651893</v>
      </c>
      <c r="GK41">
        <v>38.723701477050781</v>
      </c>
      <c r="GM41">
        <v>80</v>
      </c>
      <c r="GN41">
        <v>84</v>
      </c>
      <c r="GO41">
        <v>118</v>
      </c>
      <c r="GP41">
        <v>83</v>
      </c>
      <c r="GQ41">
        <v>88</v>
      </c>
      <c r="GR41">
        <v>118</v>
      </c>
      <c r="GT41">
        <v>62</v>
      </c>
      <c r="GU41">
        <v>14</v>
      </c>
      <c r="GV41">
        <v>9</v>
      </c>
      <c r="GW41">
        <v>63.05</v>
      </c>
      <c r="GX41">
        <v>39.04</v>
      </c>
      <c r="GY41">
        <v>18.23</v>
      </c>
      <c r="GZ41">
        <v>17.98</v>
      </c>
      <c r="HB41">
        <v>63</v>
      </c>
      <c r="HC41">
        <v>6</v>
      </c>
      <c r="HD41">
        <v>4</v>
      </c>
      <c r="HE41">
        <v>38.76</v>
      </c>
      <c r="HF41">
        <v>19.350000000000001</v>
      </c>
      <c r="HG41">
        <v>9.32</v>
      </c>
      <c r="HH41">
        <v>13.97</v>
      </c>
    </row>
    <row r="42" spans="1:216" x14ac:dyDescent="0.25">
      <c r="B42" s="1" t="s">
        <v>217</v>
      </c>
      <c r="C42" s="3" t="s">
        <v>222</v>
      </c>
      <c r="D42" s="3">
        <v>3</v>
      </c>
      <c r="E42" s="6">
        <v>48.3</v>
      </c>
      <c r="F42" s="6">
        <v>0</v>
      </c>
      <c r="G42" s="6">
        <v>3</v>
      </c>
      <c r="H42" s="6">
        <v>28.5</v>
      </c>
      <c r="I42" s="6">
        <v>0.55000000000000004</v>
      </c>
      <c r="J42" s="6">
        <v>16.3</v>
      </c>
      <c r="K42" s="6">
        <v>0.2</v>
      </c>
      <c r="L42">
        <v>0.372</v>
      </c>
      <c r="M42">
        <v>0.187</v>
      </c>
      <c r="N42">
        <v>0.121</v>
      </c>
      <c r="O42">
        <v>6.2E-2</v>
      </c>
      <c r="P42">
        <v>8.0139093876068479</v>
      </c>
      <c r="Q42">
        <v>5.8744264429564812E-2</v>
      </c>
      <c r="R42">
        <v>132.7605427441263</v>
      </c>
      <c r="S42">
        <v>1.3385270680194372</v>
      </c>
      <c r="T42">
        <v>2.1855239543143936</v>
      </c>
      <c r="U42">
        <v>27.980634689331055</v>
      </c>
      <c r="V42">
        <v>352.4907</v>
      </c>
      <c r="W42">
        <v>5.1246</v>
      </c>
      <c r="X42">
        <v>52.009799999999998</v>
      </c>
      <c r="Y42">
        <v>0.33160000000000001</v>
      </c>
      <c r="Z42">
        <v>352.4907</v>
      </c>
      <c r="AA42">
        <v>0.48599999999999999</v>
      </c>
      <c r="AB42">
        <v>1681</v>
      </c>
      <c r="AD42" s="3" t="s">
        <v>223</v>
      </c>
      <c r="AE42" s="3">
        <v>3</v>
      </c>
      <c r="AF42">
        <v>39</v>
      </c>
      <c r="AG42">
        <v>3</v>
      </c>
      <c r="AH42">
        <v>10</v>
      </c>
      <c r="AI42">
        <v>24.4</v>
      </c>
      <c r="AJ42">
        <v>21</v>
      </c>
      <c r="AK42">
        <v>0.8</v>
      </c>
      <c r="AL42">
        <v>0.6</v>
      </c>
      <c r="AM42">
        <v>351.7</v>
      </c>
      <c r="AN42">
        <v>255.6</v>
      </c>
      <c r="AO42">
        <v>0.75</v>
      </c>
      <c r="AP42">
        <v>0.61</v>
      </c>
      <c r="AQ42">
        <v>5.7149999999999999</v>
      </c>
      <c r="AR42">
        <v>1.986</v>
      </c>
      <c r="AS42">
        <v>6.3520000000000003</v>
      </c>
      <c r="AT42">
        <v>2.081</v>
      </c>
      <c r="AU42">
        <v>39.5</v>
      </c>
      <c r="AV42">
        <v>11</v>
      </c>
      <c r="AW42">
        <v>35</v>
      </c>
      <c r="AX42">
        <v>26.2</v>
      </c>
      <c r="AY42">
        <v>23.9</v>
      </c>
      <c r="AZ42">
        <v>0.9</v>
      </c>
      <c r="BA42">
        <v>0.9</v>
      </c>
      <c r="BB42">
        <v>420.7</v>
      </c>
      <c r="BC42">
        <v>356.5</v>
      </c>
      <c r="BD42">
        <v>0.83</v>
      </c>
      <c r="BE42">
        <v>0.83</v>
      </c>
      <c r="BF42">
        <v>13.67</v>
      </c>
      <c r="BG42">
        <v>5.6120000000000001</v>
      </c>
      <c r="BH42">
        <v>7.032</v>
      </c>
      <c r="BI42">
        <v>1.992</v>
      </c>
      <c r="BJ42">
        <v>36.081201419026982</v>
      </c>
      <c r="BK42">
        <v>4.502669318121378E-2</v>
      </c>
      <c r="BL42">
        <v>93.575272600287278</v>
      </c>
      <c r="BM42">
        <v>23.679740462030299</v>
      </c>
      <c r="BN42">
        <v>51.353264960157979</v>
      </c>
      <c r="BO42">
        <v>81.551015218098954</v>
      </c>
      <c r="BP42">
        <v>14.485544848998114</v>
      </c>
      <c r="BQ42">
        <v>3.4276825108505277E-3</v>
      </c>
      <c r="BR42">
        <v>73.689776550105307</v>
      </c>
      <c r="BS42">
        <v>2.9288595500040362</v>
      </c>
      <c r="BT42">
        <v>56.919535178102535</v>
      </c>
      <c r="BU42">
        <v>85.40793151855469</v>
      </c>
      <c r="BV42">
        <v>23.27373636983112</v>
      </c>
      <c r="BW42">
        <v>7.7939910408265228E-2</v>
      </c>
      <c r="BX42">
        <v>252.4290171934378</v>
      </c>
      <c r="BY42">
        <v>20.040992666472768</v>
      </c>
      <c r="BZ42">
        <v>21.746568350499889</v>
      </c>
      <c r="CA42">
        <v>65.214746093749994</v>
      </c>
      <c r="CB42">
        <v>17.057853441320866</v>
      </c>
      <c r="CC42">
        <v>2.3678471348287922E-2</v>
      </c>
      <c r="CD42">
        <v>105.0577011807914</v>
      </c>
      <c r="CE42">
        <v>14.397795033740636</v>
      </c>
      <c r="CF42">
        <v>50.708333034837615</v>
      </c>
      <c r="CG42">
        <v>82.010986328125</v>
      </c>
      <c r="CH42">
        <v>341.0224</v>
      </c>
      <c r="CI42">
        <v>38.219700000000003</v>
      </c>
      <c r="CJ42">
        <v>120.0707</v>
      </c>
      <c r="CK42">
        <v>1.1207</v>
      </c>
      <c r="CL42">
        <v>341.0224</v>
      </c>
      <c r="CM42">
        <v>3.3639999999999999</v>
      </c>
      <c r="CN42">
        <v>1639</v>
      </c>
      <c r="CW42">
        <v>71.8</v>
      </c>
      <c r="CX42">
        <v>11</v>
      </c>
      <c r="CY42">
        <v>41</v>
      </c>
      <c r="CZ42">
        <v>20.5</v>
      </c>
      <c r="DA42">
        <v>20.5</v>
      </c>
      <c r="DB42">
        <v>0.9</v>
      </c>
      <c r="DC42">
        <v>0.7</v>
      </c>
      <c r="DD42">
        <v>272.26472672178915</v>
      </c>
      <c r="DE42">
        <v>216.19315819126524</v>
      </c>
      <c r="DF42">
        <v>0.75</v>
      </c>
      <c r="DG42">
        <v>0.61</v>
      </c>
      <c r="DH42">
        <v>30.614000000000001</v>
      </c>
      <c r="DI42">
        <v>19.071000000000002</v>
      </c>
      <c r="DJ42">
        <v>11.512</v>
      </c>
      <c r="DK42">
        <v>7.5119999999999996</v>
      </c>
      <c r="DL42">
        <v>82.3</v>
      </c>
      <c r="DM42">
        <v>11</v>
      </c>
      <c r="DN42">
        <v>43</v>
      </c>
      <c r="DO42">
        <v>22</v>
      </c>
      <c r="DP42">
        <v>29.6</v>
      </c>
      <c r="DQ42">
        <v>0.9</v>
      </c>
      <c r="DR42">
        <v>0.9</v>
      </c>
      <c r="DS42">
        <v>345.94292873858831</v>
      </c>
      <c r="DT42">
        <v>292.1662979157914</v>
      </c>
      <c r="DU42">
        <v>0.83</v>
      </c>
      <c r="DV42">
        <v>0.83</v>
      </c>
      <c r="DW42">
        <v>50.890999999999998</v>
      </c>
      <c r="DX42">
        <v>32.453000000000003</v>
      </c>
      <c r="DY42">
        <v>15.093999999999999</v>
      </c>
      <c r="DZ42">
        <v>10.762</v>
      </c>
      <c r="EB42">
        <v>23.27373636983112</v>
      </c>
      <c r="EC42">
        <v>7.7939910408265228E-2</v>
      </c>
      <c r="ED42">
        <v>252.4290171934378</v>
      </c>
      <c r="EE42">
        <v>20.040992666472768</v>
      </c>
      <c r="EF42">
        <v>21.746568350499889</v>
      </c>
      <c r="EG42">
        <v>65.214746093749994</v>
      </c>
      <c r="EH42">
        <v>14.381759928255358</v>
      </c>
      <c r="EI42">
        <v>3.5061795989626145E-2</v>
      </c>
      <c r="EJ42">
        <v>185.22246865001156</v>
      </c>
      <c r="EK42">
        <v>12.959011378872177</v>
      </c>
      <c r="EL42">
        <v>35.921478993475787</v>
      </c>
      <c r="EM42">
        <v>73.518202209472662</v>
      </c>
      <c r="EO42">
        <v>32.468347666366988</v>
      </c>
      <c r="EP42">
        <v>7.0962123040916619E-2</v>
      </c>
      <c r="EQ42">
        <v>291.32683855920391</v>
      </c>
      <c r="ER42">
        <v>15.764053848658886</v>
      </c>
      <c r="ES42">
        <v>19.153371766197679</v>
      </c>
      <c r="ET42">
        <v>63.031257629394531</v>
      </c>
      <c r="EU42">
        <v>23.26196420555161</v>
      </c>
      <c r="EV42">
        <v>5.8873794308264685E-2</v>
      </c>
      <c r="EW42">
        <v>296.70025112709925</v>
      </c>
      <c r="EX42">
        <v>13.618774703939406</v>
      </c>
      <c r="EY42">
        <v>19.833237959583425</v>
      </c>
      <c r="EZ42">
        <v>63.573196411132813</v>
      </c>
      <c r="FB42">
        <v>923.41909999999996</v>
      </c>
      <c r="FC42">
        <v>151.32660000000001</v>
      </c>
      <c r="FD42">
        <v>475.40660000000003</v>
      </c>
      <c r="FE42">
        <v>1.6388</v>
      </c>
      <c r="FF42">
        <v>923.41909999999996</v>
      </c>
      <c r="FG42">
        <v>19.477</v>
      </c>
      <c r="FH42">
        <v>5759</v>
      </c>
      <c r="FI42">
        <v>713.66764999999998</v>
      </c>
      <c r="FJ42">
        <v>138.65785</v>
      </c>
      <c r="FK42">
        <v>435.60645</v>
      </c>
      <c r="FL42">
        <v>1.8340000000000001</v>
      </c>
      <c r="FM42">
        <v>713.66764999999998</v>
      </c>
      <c r="FN42">
        <v>23.264000000000003</v>
      </c>
      <c r="FO42">
        <v>3212</v>
      </c>
      <c r="FQ42">
        <v>13.5</v>
      </c>
      <c r="FR42">
        <v>0.8</v>
      </c>
      <c r="FS42">
        <v>258.68415098065896</v>
      </c>
      <c r="FT42">
        <v>0.82</v>
      </c>
      <c r="FU42">
        <v>15.4</v>
      </c>
      <c r="FV42">
        <v>1</v>
      </c>
      <c r="FW42">
        <v>457.09714679725448</v>
      </c>
      <c r="FX42">
        <v>0.82</v>
      </c>
      <c r="FY42">
        <v>25.650880548680444</v>
      </c>
      <c r="FZ42">
        <v>0.70994371898408715</v>
      </c>
      <c r="GA42">
        <v>343.99345769854295</v>
      </c>
      <c r="GB42">
        <v>19.979577466577723</v>
      </c>
      <c r="GC42">
        <v>3.0525486981354222</v>
      </c>
      <c r="GD42">
        <v>39.106025695800781</v>
      </c>
      <c r="GF42">
        <v>23.458740364090055</v>
      </c>
      <c r="GG42">
        <v>0.34482408984352952</v>
      </c>
      <c r="GH42">
        <v>299.48773525633362</v>
      </c>
      <c r="GI42">
        <v>11.927904414662331</v>
      </c>
      <c r="GJ42">
        <v>3.4660150585250782</v>
      </c>
      <c r="GK42">
        <v>38.724906921386719</v>
      </c>
      <c r="GM42">
        <v>80</v>
      </c>
      <c r="GN42">
        <v>84</v>
      </c>
      <c r="GO42">
        <v>118</v>
      </c>
      <c r="GP42">
        <v>83</v>
      </c>
      <c r="GQ42">
        <v>88</v>
      </c>
      <c r="GR42">
        <v>118</v>
      </c>
      <c r="GT42">
        <v>69</v>
      </c>
      <c r="GU42">
        <v>19</v>
      </c>
      <c r="GV42">
        <v>16</v>
      </c>
      <c r="GW42">
        <v>65.11</v>
      </c>
      <c r="GX42">
        <v>40.17</v>
      </c>
      <c r="GY42">
        <v>18.75</v>
      </c>
      <c r="GZ42">
        <v>17.98</v>
      </c>
      <c r="HB42">
        <v>61</v>
      </c>
      <c r="HC42">
        <v>10</v>
      </c>
      <c r="HD42">
        <v>5</v>
      </c>
      <c r="HE42">
        <v>39.520000000000003</v>
      </c>
      <c r="HF42">
        <v>20.952999999999999</v>
      </c>
      <c r="HG42">
        <v>9.5399999999999991</v>
      </c>
      <c r="HH42">
        <v>13.75</v>
      </c>
    </row>
    <row r="43" spans="1:216" x14ac:dyDescent="0.25">
      <c r="A43" t="s">
        <v>203</v>
      </c>
      <c r="B43" s="1" t="s">
        <v>218</v>
      </c>
      <c r="C43" s="3" t="s">
        <v>222</v>
      </c>
      <c r="D43" s="3">
        <v>1</v>
      </c>
      <c r="E43" s="6">
        <v>35.700000000000003</v>
      </c>
      <c r="F43" s="6">
        <v>0</v>
      </c>
      <c r="G43" s="6">
        <v>3</v>
      </c>
      <c r="H43" s="6">
        <v>21.1</v>
      </c>
      <c r="I43" s="6">
        <v>0.65</v>
      </c>
      <c r="J43" s="6">
        <v>9.6999999999999993</v>
      </c>
      <c r="K43" s="6">
        <v>0.2</v>
      </c>
      <c r="L43">
        <v>0.45200000000000001</v>
      </c>
      <c r="M43">
        <v>0.109</v>
      </c>
      <c r="N43">
        <v>0.10100000000000001</v>
      </c>
      <c r="O43">
        <v>6.8000000000000005E-2</v>
      </c>
      <c r="P43">
        <v>7.3194215574647741</v>
      </c>
      <c r="Q43">
        <v>4.891104717088917E-2</v>
      </c>
      <c r="R43">
        <v>94.336315820362046</v>
      </c>
      <c r="S43">
        <v>1.2425289035007909</v>
      </c>
      <c r="T43">
        <v>2.4233535452676946</v>
      </c>
      <c r="U43">
        <v>29.91407585144043</v>
      </c>
      <c r="V43">
        <v>154.56229999999999</v>
      </c>
      <c r="W43">
        <v>5.8009000000000004</v>
      </c>
      <c r="X43">
        <v>16.099299999999999</v>
      </c>
      <c r="Y43">
        <v>0.31859999999999999</v>
      </c>
      <c r="Z43">
        <v>154.56229999999999</v>
      </c>
      <c r="AA43">
        <v>0.13300000000000001</v>
      </c>
      <c r="AB43">
        <v>1085</v>
      </c>
      <c r="AC43" s="1" t="s">
        <v>218</v>
      </c>
      <c r="AD43" s="3" t="s">
        <v>223</v>
      </c>
      <c r="AE43" s="3">
        <v>1</v>
      </c>
      <c r="AF43">
        <v>43.6</v>
      </c>
      <c r="AG43">
        <v>6</v>
      </c>
      <c r="AH43">
        <v>16</v>
      </c>
      <c r="AI43">
        <v>29.5</v>
      </c>
      <c r="AJ43">
        <v>25</v>
      </c>
      <c r="AK43">
        <v>0.6</v>
      </c>
      <c r="AL43">
        <v>0.7</v>
      </c>
      <c r="AM43">
        <v>245.8</v>
      </c>
      <c r="AN43">
        <v>139.80000000000001</v>
      </c>
      <c r="AO43">
        <v>0.81</v>
      </c>
      <c r="AP43">
        <v>0.75</v>
      </c>
      <c r="AQ43">
        <v>9.4510000000000005</v>
      </c>
      <c r="AR43">
        <v>2.9870000000000001</v>
      </c>
      <c r="AS43">
        <v>10.61</v>
      </c>
      <c r="AT43">
        <v>3.012</v>
      </c>
      <c r="AU43">
        <v>57.5</v>
      </c>
      <c r="AV43">
        <v>24</v>
      </c>
      <c r="AW43">
        <v>67</v>
      </c>
      <c r="AX43">
        <v>39</v>
      </c>
      <c r="AY43">
        <v>28.3</v>
      </c>
      <c r="AZ43">
        <v>1.1000000000000001</v>
      </c>
      <c r="BA43">
        <v>0.9</v>
      </c>
      <c r="BB43">
        <v>470.5</v>
      </c>
      <c r="BC43">
        <v>411.5</v>
      </c>
      <c r="BD43">
        <v>0.85</v>
      </c>
      <c r="BE43">
        <v>0.85</v>
      </c>
      <c r="BF43">
        <v>35.21</v>
      </c>
      <c r="BG43">
        <v>14.459</v>
      </c>
      <c r="BH43">
        <v>12.967000000000001</v>
      </c>
      <c r="BI43">
        <v>3.7690000000000001</v>
      </c>
      <c r="BJ43">
        <v>37.371015002004917</v>
      </c>
      <c r="BK43">
        <v>3.6269518786417564E-2</v>
      </c>
      <c r="BL43">
        <v>63.450540687974453</v>
      </c>
      <c r="BM43">
        <v>24.887020565703992</v>
      </c>
      <c r="BN43">
        <v>57.846182607981483</v>
      </c>
      <c r="BO43">
        <v>84.995845031738284</v>
      </c>
      <c r="BP43">
        <v>20.290750478327592</v>
      </c>
      <c r="BQ43">
        <v>2.8105079027972667E-2</v>
      </c>
      <c r="BR43">
        <v>173.22842506214815</v>
      </c>
      <c r="BS43">
        <v>10.636811586715286</v>
      </c>
      <c r="BT43">
        <v>36.676302493000613</v>
      </c>
      <c r="BU43">
        <v>73.765028817313052</v>
      </c>
      <c r="BV43">
        <v>22.163363934688473</v>
      </c>
      <c r="BW43">
        <v>6.7576284824679311E-2</v>
      </c>
      <c r="BX43">
        <v>246.75860622921772</v>
      </c>
      <c r="BY43">
        <v>18.442883671842697</v>
      </c>
      <c r="BZ43">
        <v>22.887145945203894</v>
      </c>
      <c r="CA43">
        <v>66.116479492187494</v>
      </c>
      <c r="CB43">
        <v>22.906984170237624</v>
      </c>
      <c r="CC43">
        <v>3.4296322915473534E-2</v>
      </c>
      <c r="CD43">
        <v>107.96444979836792</v>
      </c>
      <c r="CE43">
        <v>20.755199503190212</v>
      </c>
      <c r="CF43">
        <v>49.221732362059562</v>
      </c>
      <c r="CG43">
        <v>81.558536529541016</v>
      </c>
      <c r="CH43">
        <v>367.41219999999998</v>
      </c>
      <c r="CI43">
        <v>80.050299999999993</v>
      </c>
      <c r="CJ43">
        <v>251.4853</v>
      </c>
      <c r="CK43">
        <v>2.1787999999999998</v>
      </c>
      <c r="CL43">
        <v>367.41219999999998</v>
      </c>
      <c r="CM43">
        <v>13.698</v>
      </c>
      <c r="CN43">
        <v>1560</v>
      </c>
      <c r="CO43">
        <v>320.37513333333334</v>
      </c>
      <c r="CP43">
        <v>50.470999999999997</v>
      </c>
      <c r="CQ43">
        <v>158.55926666666667</v>
      </c>
      <c r="CR43">
        <v>1.5866666666666667</v>
      </c>
      <c r="CS43">
        <v>320.37513333333334</v>
      </c>
      <c r="CT43">
        <v>6.8660000000000005</v>
      </c>
      <c r="CU43">
        <v>1323.3333333333333</v>
      </c>
      <c r="CW43">
        <v>65.099999999999994</v>
      </c>
      <c r="CX43">
        <v>11</v>
      </c>
      <c r="CY43">
        <v>43</v>
      </c>
      <c r="CZ43">
        <v>24.5</v>
      </c>
      <c r="DA43">
        <v>0.9</v>
      </c>
      <c r="DB43">
        <v>0.9</v>
      </c>
      <c r="DC43">
        <v>0.8</v>
      </c>
      <c r="DD43">
        <v>270.58141863344827</v>
      </c>
      <c r="DE43">
        <v>237.79100293805442</v>
      </c>
      <c r="DF43">
        <v>0.81</v>
      </c>
      <c r="DG43">
        <v>0.75</v>
      </c>
      <c r="DH43">
        <v>42.241</v>
      </c>
      <c r="DI43">
        <v>29.875</v>
      </c>
      <c r="DJ43">
        <v>20.983000000000001</v>
      </c>
      <c r="DK43">
        <v>10.512</v>
      </c>
      <c r="DL43">
        <v>77.5</v>
      </c>
      <c r="DM43">
        <v>37</v>
      </c>
      <c r="DN43">
        <v>124</v>
      </c>
      <c r="DO43">
        <v>30.5</v>
      </c>
      <c r="DP43">
        <v>31</v>
      </c>
      <c r="DQ43">
        <v>1</v>
      </c>
      <c r="DR43">
        <v>0.8</v>
      </c>
      <c r="DS43">
        <v>386.37505713746452</v>
      </c>
      <c r="DT43">
        <v>368.62527609484033</v>
      </c>
      <c r="DU43">
        <v>0.85</v>
      </c>
      <c r="DV43">
        <v>0.85</v>
      </c>
      <c r="DW43">
        <v>81.765000000000001</v>
      </c>
      <c r="DX43">
        <v>51.347000000000001</v>
      </c>
      <c r="DY43">
        <v>19.632000000000001</v>
      </c>
      <c r="DZ43">
        <v>15.679</v>
      </c>
      <c r="EB43">
        <v>23.27373636983112</v>
      </c>
      <c r="EC43">
        <v>7.7939910408265228E-2</v>
      </c>
      <c r="ED43">
        <v>252.4290171934378</v>
      </c>
      <c r="EE43">
        <v>20.040992666472768</v>
      </c>
      <c r="EF43">
        <v>21.746568350499889</v>
      </c>
      <c r="EG43">
        <v>65.214746093749994</v>
      </c>
      <c r="EH43">
        <v>17.057853441320866</v>
      </c>
      <c r="EI43">
        <v>2.3678471348287922E-2</v>
      </c>
      <c r="EJ43">
        <v>105.0577011807914</v>
      </c>
      <c r="EK43">
        <v>14.397795033740636</v>
      </c>
      <c r="EL43">
        <v>50.708333034837615</v>
      </c>
      <c r="EM43">
        <v>82.010986328125</v>
      </c>
      <c r="EO43">
        <v>22.978280008999825</v>
      </c>
      <c r="EP43">
        <v>5.0497827379327953E-2</v>
      </c>
      <c r="EQ43">
        <v>305.01502764803433</v>
      </c>
      <c r="ER43">
        <v>11.308618076590607</v>
      </c>
      <c r="ES43">
        <v>19.271647123098507</v>
      </c>
      <c r="ET43">
        <v>62.837626647949222</v>
      </c>
      <c r="EU43">
        <v>9.1615691253318694</v>
      </c>
      <c r="EV43">
        <v>3.1741268291793405E-2</v>
      </c>
      <c r="EW43">
        <v>316.86718924243519</v>
      </c>
      <c r="EX43">
        <v>7.2928359023028575</v>
      </c>
      <c r="EY43">
        <v>19.681843879812927</v>
      </c>
      <c r="EZ43">
        <v>63.060472869873045</v>
      </c>
      <c r="FB43">
        <v>200.10560000000001</v>
      </c>
      <c r="FC43">
        <v>257.67110000000002</v>
      </c>
      <c r="FD43">
        <v>809.49760000000003</v>
      </c>
      <c r="FE43">
        <v>24408.987499999999</v>
      </c>
      <c r="FF43">
        <v>0.1056</v>
      </c>
      <c r="FG43">
        <v>493975.402</v>
      </c>
      <c r="FH43">
        <v>2024</v>
      </c>
      <c r="FI43">
        <v>867.81169999999997</v>
      </c>
      <c r="FJ43">
        <v>114.74339999999999</v>
      </c>
      <c r="FK43">
        <v>360.47710000000001</v>
      </c>
      <c r="FL43">
        <v>1.3222</v>
      </c>
      <c r="FM43">
        <v>867.81169999999997</v>
      </c>
      <c r="FN43">
        <v>11.916</v>
      </c>
      <c r="FO43">
        <v>3583</v>
      </c>
      <c r="FQ43">
        <v>16.100000000000001</v>
      </c>
      <c r="FR43">
        <v>0.8</v>
      </c>
      <c r="FS43">
        <v>297.05983540153409</v>
      </c>
      <c r="FT43">
        <v>0.83</v>
      </c>
      <c r="FU43">
        <v>22</v>
      </c>
      <c r="FV43">
        <v>1.1000000000000001</v>
      </c>
      <c r="FW43">
        <v>393.67397919200818</v>
      </c>
      <c r="FX43">
        <v>0.84</v>
      </c>
      <c r="FY43">
        <v>25.553687066018703</v>
      </c>
      <c r="FZ43">
        <v>0.55828992545363398</v>
      </c>
      <c r="GA43">
        <v>325.74174087379708</v>
      </c>
      <c r="GB43">
        <v>17.543062347525773</v>
      </c>
      <c r="GC43">
        <v>3.3023088937492511</v>
      </c>
      <c r="GD43">
        <v>39.413284301757813</v>
      </c>
      <c r="GF43">
        <v>18.695639162881196</v>
      </c>
      <c r="GG43">
        <v>0.72652882746355174</v>
      </c>
      <c r="GH43">
        <v>372.88443239081982</v>
      </c>
      <c r="GI43">
        <v>17.855981107212003</v>
      </c>
      <c r="GJ43">
        <v>2.6639743683405839</v>
      </c>
      <c r="GK43">
        <v>37.205337524414063</v>
      </c>
      <c r="GM43">
        <v>76</v>
      </c>
      <c r="GN43">
        <v>80</v>
      </c>
      <c r="GO43">
        <v>110</v>
      </c>
      <c r="GP43">
        <v>80</v>
      </c>
      <c r="GQ43">
        <v>85</v>
      </c>
      <c r="GR43">
        <v>117</v>
      </c>
      <c r="GT43">
        <v>85.2</v>
      </c>
      <c r="GU43">
        <v>39</v>
      </c>
      <c r="GV43">
        <v>25</v>
      </c>
      <c r="GW43">
        <v>76.111999999999995</v>
      </c>
      <c r="GX43">
        <v>43.65</v>
      </c>
      <c r="GY43">
        <v>23.52</v>
      </c>
      <c r="GZ43">
        <v>22.55</v>
      </c>
      <c r="HB43">
        <v>70</v>
      </c>
      <c r="HC43">
        <v>15</v>
      </c>
      <c r="HD43">
        <v>11</v>
      </c>
      <c r="HE43">
        <v>55.764000000000003</v>
      </c>
      <c r="HF43">
        <v>27.12</v>
      </c>
      <c r="HG43">
        <v>13.99</v>
      </c>
      <c r="HH43">
        <v>21.95</v>
      </c>
    </row>
    <row r="44" spans="1:216" x14ac:dyDescent="0.25">
      <c r="B44" s="1" t="s">
        <v>218</v>
      </c>
      <c r="C44" s="3" t="s">
        <v>222</v>
      </c>
      <c r="D44" s="3">
        <v>2</v>
      </c>
      <c r="E44" s="6">
        <v>38.700000000000003</v>
      </c>
      <c r="F44" s="6">
        <v>0</v>
      </c>
      <c r="G44" s="6">
        <v>3</v>
      </c>
      <c r="H44" s="6">
        <v>20.5</v>
      </c>
      <c r="I44" s="6">
        <v>0.5</v>
      </c>
      <c r="J44" s="6">
        <v>8.4</v>
      </c>
      <c r="K44" s="6">
        <v>0.3</v>
      </c>
      <c r="L44">
        <v>0.43300000000000005</v>
      </c>
      <c r="M44">
        <v>0.115</v>
      </c>
      <c r="N44">
        <v>0.121</v>
      </c>
      <c r="O44">
        <v>7.2999999999999995E-2</v>
      </c>
      <c r="P44">
        <v>6.3188288284080887</v>
      </c>
      <c r="Q44">
        <v>5.1111824731510415E-2</v>
      </c>
      <c r="R44">
        <v>112.33990109195879</v>
      </c>
      <c r="S44">
        <v>1.2715567094641211</v>
      </c>
      <c r="T44">
        <v>2.394674708878942</v>
      </c>
      <c r="U44">
        <v>29.82878589630127</v>
      </c>
      <c r="V44">
        <v>161.8912</v>
      </c>
      <c r="W44">
        <v>5.7439999999999998</v>
      </c>
      <c r="X44">
        <v>18.2241</v>
      </c>
      <c r="Y44">
        <v>0.28489999999999999</v>
      </c>
      <c r="Z44">
        <v>182.08529999999999</v>
      </c>
      <c r="AA44">
        <v>0.14499999999999999</v>
      </c>
      <c r="AB44">
        <v>949</v>
      </c>
      <c r="AD44" s="3" t="s">
        <v>223</v>
      </c>
      <c r="AE44" s="3">
        <v>2</v>
      </c>
      <c r="AF44">
        <v>40.799999999999997</v>
      </c>
      <c r="AG44">
        <v>4</v>
      </c>
      <c r="AH44">
        <v>10</v>
      </c>
      <c r="AI44">
        <v>23.8</v>
      </c>
      <c r="AJ44">
        <v>21.5</v>
      </c>
      <c r="AK44">
        <v>0.5</v>
      </c>
      <c r="AL44">
        <v>0.5</v>
      </c>
      <c r="AM44">
        <v>296.39999999999998</v>
      </c>
      <c r="AN44">
        <v>127.8</v>
      </c>
      <c r="AO44">
        <v>0.79</v>
      </c>
      <c r="AP44">
        <v>0.72</v>
      </c>
      <c r="AQ44">
        <v>4.6210000000000004</v>
      </c>
      <c r="AR44">
        <v>1.6519999999999999</v>
      </c>
      <c r="AS44">
        <v>2.7210000000000001</v>
      </c>
      <c r="AT44">
        <v>9.7000000000000003E-2</v>
      </c>
      <c r="AU44">
        <v>58.2</v>
      </c>
      <c r="AV44">
        <v>26</v>
      </c>
      <c r="AW44">
        <v>73</v>
      </c>
      <c r="AX44">
        <v>38.700000000000003</v>
      </c>
      <c r="AY44">
        <v>30.8</v>
      </c>
      <c r="AZ44">
        <v>1.2</v>
      </c>
      <c r="BA44">
        <v>1</v>
      </c>
      <c r="BB44">
        <v>440.1</v>
      </c>
      <c r="BC44">
        <v>431.6</v>
      </c>
      <c r="BD44">
        <v>0.85</v>
      </c>
      <c r="BE44">
        <v>0.83</v>
      </c>
      <c r="BF44">
        <v>38.43</v>
      </c>
      <c r="BG44">
        <v>13.984</v>
      </c>
      <c r="BH44">
        <v>13.412000000000001</v>
      </c>
      <c r="BI44">
        <v>3.9820000000000002</v>
      </c>
      <c r="BJ44">
        <v>35.162338005074325</v>
      </c>
      <c r="BK44">
        <v>4.1535085224235796E-2</v>
      </c>
      <c r="BL44">
        <v>107.95019074166449</v>
      </c>
      <c r="BM44">
        <v>20.463579145551609</v>
      </c>
      <c r="BN44">
        <v>48.407519199090743</v>
      </c>
      <c r="BO44">
        <v>79.993019104003906</v>
      </c>
      <c r="BP44">
        <v>16.751799304487101</v>
      </c>
      <c r="BQ44">
        <v>1.7394638545675661E-2</v>
      </c>
      <c r="BR44">
        <v>237.65950886551599</v>
      </c>
      <c r="BS44">
        <v>5.127807137089464</v>
      </c>
      <c r="BT44">
        <v>24.541761755596273</v>
      </c>
      <c r="BU44">
        <v>66.971394348144528</v>
      </c>
      <c r="BV44">
        <v>22.858248620685966</v>
      </c>
      <c r="BW44">
        <v>4.7883670589062122E-2</v>
      </c>
      <c r="BX44">
        <v>163.78924976119953</v>
      </c>
      <c r="BY44">
        <v>18.615586887233881</v>
      </c>
      <c r="BZ44">
        <v>38.886609081238284</v>
      </c>
      <c r="CA44">
        <v>75.027346801757815</v>
      </c>
      <c r="CB44">
        <v>23.655431552121506</v>
      </c>
      <c r="CC44">
        <v>2.2826407072979938E-2</v>
      </c>
      <c r="CD44">
        <v>86.496140958310519</v>
      </c>
      <c r="CE44">
        <v>17.553669038113448</v>
      </c>
      <c r="CF44">
        <v>53.335911576963312</v>
      </c>
      <c r="CG44">
        <v>84.025498962402338</v>
      </c>
      <c r="CH44">
        <v>169.6883</v>
      </c>
      <c r="CI44">
        <v>25.4133</v>
      </c>
      <c r="CJ44">
        <v>79.838300000000004</v>
      </c>
      <c r="CK44">
        <v>1.4976</v>
      </c>
      <c r="CL44">
        <v>169.6883</v>
      </c>
      <c r="CM44">
        <v>2.9889999999999999</v>
      </c>
      <c r="CN44">
        <v>770</v>
      </c>
      <c r="CO44">
        <v>198.3442</v>
      </c>
      <c r="CP44">
        <v>107.55323333333332</v>
      </c>
      <c r="CQ44">
        <v>337.88843333333335</v>
      </c>
      <c r="CR44">
        <v>8.1231666666666662</v>
      </c>
      <c r="CS44">
        <v>198.3442</v>
      </c>
      <c r="CT44">
        <v>72.523333333333326</v>
      </c>
      <c r="CU44">
        <v>1411.6666666666667</v>
      </c>
      <c r="CW44">
        <v>76.099999999999994</v>
      </c>
      <c r="CX44">
        <v>14</v>
      </c>
      <c r="CY44">
        <v>53</v>
      </c>
      <c r="CZ44">
        <v>24.7</v>
      </c>
      <c r="DA44">
        <v>21.2</v>
      </c>
      <c r="DB44">
        <v>0.9</v>
      </c>
      <c r="DC44">
        <v>0.8</v>
      </c>
      <c r="DD44">
        <v>272.26472672178915</v>
      </c>
      <c r="DE44">
        <v>230.67487711071743</v>
      </c>
      <c r="DF44">
        <v>0.79</v>
      </c>
      <c r="DG44">
        <v>0.72</v>
      </c>
      <c r="DH44">
        <v>42.164999999999999</v>
      </c>
      <c r="DI44">
        <v>25.617000000000001</v>
      </c>
      <c r="DJ44">
        <v>16.512</v>
      </c>
      <c r="DK44">
        <v>11.653</v>
      </c>
      <c r="DL44">
        <v>83.2</v>
      </c>
      <c r="DM44">
        <v>31</v>
      </c>
      <c r="DN44">
        <v>103</v>
      </c>
      <c r="DO44">
        <v>29.7</v>
      </c>
      <c r="DP44">
        <v>31.3</v>
      </c>
      <c r="DQ44">
        <v>1</v>
      </c>
      <c r="DR44">
        <v>0.8</v>
      </c>
      <c r="DS44">
        <v>396.57822999628564</v>
      </c>
      <c r="DT44">
        <v>365.63375122899635</v>
      </c>
      <c r="DU44">
        <v>0.84</v>
      </c>
      <c r="DV44">
        <v>0.83</v>
      </c>
      <c r="DW44">
        <v>72.617000000000004</v>
      </c>
      <c r="DX44">
        <v>43.968000000000004</v>
      </c>
      <c r="DY44">
        <v>16.849</v>
      </c>
      <c r="DZ44">
        <v>13.212999999999999</v>
      </c>
      <c r="EB44">
        <v>22.163363934688473</v>
      </c>
      <c r="EC44">
        <v>6.7576284824679311E-2</v>
      </c>
      <c r="ED44">
        <v>246.75860622921772</v>
      </c>
      <c r="EE44">
        <v>18.442883671842697</v>
      </c>
      <c r="EF44">
        <v>22.887145945203894</v>
      </c>
      <c r="EG44">
        <v>66.116479492187494</v>
      </c>
      <c r="EH44">
        <v>22.875962490865255</v>
      </c>
      <c r="EI44">
        <v>2.6180567611581284E-2</v>
      </c>
      <c r="EJ44">
        <v>80.113343806971699</v>
      </c>
      <c r="EK44">
        <v>21.273386504195905</v>
      </c>
      <c r="EL44">
        <v>54.482440480780667</v>
      </c>
      <c r="EM44">
        <v>84.795466613769534</v>
      </c>
      <c r="EO44">
        <v>20.918714058120571</v>
      </c>
      <c r="EP44">
        <v>5.1644732431285222E-2</v>
      </c>
      <c r="EQ44">
        <v>312.08435677389537</v>
      </c>
      <c r="ER44">
        <v>10.997030912447567</v>
      </c>
      <c r="ES44">
        <v>18.420075447305972</v>
      </c>
      <c r="ET44">
        <v>62.008647918701172</v>
      </c>
      <c r="EU44">
        <v>12.416773192015487</v>
      </c>
      <c r="EV44">
        <v>4.4034193720631658E-2</v>
      </c>
      <c r="EW44">
        <v>318.64725571259646</v>
      </c>
      <c r="EX44">
        <v>9.5574038291372609</v>
      </c>
      <c r="EY44">
        <v>18.724580496264867</v>
      </c>
      <c r="EZ44">
        <v>62.244728851318357</v>
      </c>
      <c r="FB44">
        <v>273.92349999999999</v>
      </c>
      <c r="FC44">
        <v>236.41470000000001</v>
      </c>
      <c r="FD44">
        <v>742.71879999999999</v>
      </c>
      <c r="FE44">
        <v>8.6306999999999992</v>
      </c>
      <c r="FF44">
        <v>273.92349999999999</v>
      </c>
      <c r="FG44">
        <v>160.25399999999999</v>
      </c>
      <c r="FH44">
        <v>3048</v>
      </c>
      <c r="FI44">
        <v>1445.2263</v>
      </c>
      <c r="FJ44">
        <v>212.5958</v>
      </c>
      <c r="FK44">
        <v>667.88930000000005</v>
      </c>
      <c r="FL44">
        <v>1.4710000000000001</v>
      </c>
      <c r="FM44">
        <v>1445.2263</v>
      </c>
      <c r="FN44">
        <v>24.562000000000001</v>
      </c>
      <c r="FO44">
        <v>4595</v>
      </c>
      <c r="FQ44">
        <v>14.1</v>
      </c>
      <c r="FR44">
        <v>0.8</v>
      </c>
      <c r="FS44">
        <v>306.75466080814965</v>
      </c>
      <c r="FT44">
        <v>0.83</v>
      </c>
      <c r="FU44">
        <v>18.3</v>
      </c>
      <c r="FV44">
        <v>1.1000000000000001</v>
      </c>
      <c r="FW44">
        <v>403.80149110579748</v>
      </c>
      <c r="FX44">
        <v>0.84</v>
      </c>
      <c r="FY44">
        <v>25.745096550888334</v>
      </c>
      <c r="FZ44">
        <v>0.55710260434445591</v>
      </c>
      <c r="GA44">
        <v>324.92594309737842</v>
      </c>
      <c r="GB44">
        <v>17.52554248979834</v>
      </c>
      <c r="GC44">
        <v>3.3051878466951563</v>
      </c>
      <c r="GD44">
        <v>39.418952941894531</v>
      </c>
      <c r="GF44">
        <v>18.578946503816759</v>
      </c>
      <c r="GG44">
        <v>0.72726329423784808</v>
      </c>
      <c r="GH44">
        <v>373.2470397629437</v>
      </c>
      <c r="GI44">
        <v>17.867297863228234</v>
      </c>
      <c r="GJ44">
        <v>2.6633450222235013</v>
      </c>
      <c r="GK44">
        <v>37.204360961914063</v>
      </c>
      <c r="GM44">
        <v>76</v>
      </c>
      <c r="GN44">
        <v>80</v>
      </c>
      <c r="GO44">
        <v>110</v>
      </c>
      <c r="GP44">
        <v>80</v>
      </c>
      <c r="GQ44">
        <v>85</v>
      </c>
      <c r="GR44">
        <v>117</v>
      </c>
      <c r="GT44">
        <v>87.1</v>
      </c>
      <c r="GU44">
        <v>35</v>
      </c>
      <c r="GV44">
        <v>21</v>
      </c>
      <c r="GW44">
        <v>71.58</v>
      </c>
      <c r="GX44">
        <v>40.950000000000003</v>
      </c>
      <c r="GY44">
        <v>21.65</v>
      </c>
      <c r="GZ44">
        <v>21.69</v>
      </c>
      <c r="HB44">
        <v>68</v>
      </c>
      <c r="HC44">
        <v>18</v>
      </c>
      <c r="HD44">
        <v>13</v>
      </c>
      <c r="HE44">
        <v>57.59</v>
      </c>
      <c r="HF44">
        <v>28.55</v>
      </c>
      <c r="HG44">
        <v>14.26</v>
      </c>
      <c r="HH44">
        <v>21.95</v>
      </c>
    </row>
    <row r="45" spans="1:216" x14ac:dyDescent="0.25">
      <c r="B45" s="1" t="s">
        <v>218</v>
      </c>
      <c r="C45" s="3" t="s">
        <v>222</v>
      </c>
      <c r="D45" s="3">
        <v>3</v>
      </c>
      <c r="E45" s="6">
        <v>38.6</v>
      </c>
      <c r="F45" s="6">
        <v>0</v>
      </c>
      <c r="G45" s="6">
        <v>3</v>
      </c>
      <c r="H45" s="6">
        <v>20.8</v>
      </c>
      <c r="I45" s="6">
        <v>0.6</v>
      </c>
      <c r="J45" s="6">
        <v>8.6</v>
      </c>
      <c r="K45" s="6">
        <v>0.25</v>
      </c>
      <c r="L45">
        <v>0.46700000000000003</v>
      </c>
      <c r="M45">
        <v>0.10299999999999999</v>
      </c>
      <c r="N45">
        <v>0.105</v>
      </c>
      <c r="O45">
        <v>7.4999999999999997E-2</v>
      </c>
      <c r="P45">
        <v>9.3274520283015008</v>
      </c>
      <c r="Q45">
        <v>3.1970870519722167E-2</v>
      </c>
      <c r="R45">
        <v>-112.36369356634722</v>
      </c>
      <c r="S45">
        <v>0.75814224757691329</v>
      </c>
      <c r="T45">
        <v>2.2603663533509719</v>
      </c>
      <c r="U45">
        <v>28.489471435546875</v>
      </c>
      <c r="V45">
        <v>182.08529999999999</v>
      </c>
      <c r="W45">
        <v>12.139099999999999</v>
      </c>
      <c r="X45">
        <v>18.045300000000001</v>
      </c>
      <c r="Y45">
        <v>0.3856</v>
      </c>
      <c r="Z45">
        <v>201.60650000000001</v>
      </c>
      <c r="AA45">
        <v>0.129</v>
      </c>
      <c r="AB45">
        <v>1213</v>
      </c>
      <c r="AD45" s="3" t="s">
        <v>223</v>
      </c>
      <c r="AE45" s="3">
        <v>3</v>
      </c>
      <c r="AF45">
        <v>39.1</v>
      </c>
      <c r="AG45">
        <v>4</v>
      </c>
      <c r="AH45">
        <v>11</v>
      </c>
      <c r="AI45">
        <v>24.5</v>
      </c>
      <c r="AJ45">
        <v>23.8</v>
      </c>
      <c r="AK45">
        <v>0.7</v>
      </c>
      <c r="AL45">
        <v>0.7</v>
      </c>
      <c r="AM45">
        <v>247.7</v>
      </c>
      <c r="AN45">
        <v>153.69999999999999</v>
      </c>
      <c r="AO45">
        <v>0.8</v>
      </c>
      <c r="AP45">
        <v>0.76</v>
      </c>
      <c r="AQ45">
        <v>4.84</v>
      </c>
      <c r="AR45">
        <v>1.0169999999999999</v>
      </c>
      <c r="AS45">
        <v>3.1819999999999999</v>
      </c>
      <c r="AT45">
        <v>1.0189999999999999</v>
      </c>
      <c r="AU45">
        <v>50.8</v>
      </c>
      <c r="AV45">
        <v>19</v>
      </c>
      <c r="AW45">
        <v>58</v>
      </c>
      <c r="AX45">
        <v>31.6</v>
      </c>
      <c r="AY45">
        <v>25.8</v>
      </c>
      <c r="AZ45">
        <v>1</v>
      </c>
      <c r="BA45">
        <v>0.9</v>
      </c>
      <c r="BB45">
        <v>408.2</v>
      </c>
      <c r="BC45">
        <v>410.7</v>
      </c>
      <c r="BD45">
        <v>0.85</v>
      </c>
      <c r="BE45">
        <v>0.83</v>
      </c>
      <c r="BF45">
        <v>28.42</v>
      </c>
      <c r="BG45">
        <v>13.215</v>
      </c>
      <c r="BH45">
        <v>11.627000000000001</v>
      </c>
      <c r="BI45">
        <v>3.0910000000000002</v>
      </c>
      <c r="BJ45">
        <v>37.705948456154843</v>
      </c>
      <c r="BK45">
        <v>3.2255143162931058E-2</v>
      </c>
      <c r="BL45">
        <v>88.219409753841717</v>
      </c>
      <c r="BM45">
        <v>19.97184772452168</v>
      </c>
      <c r="BN45">
        <v>52.167397565730752</v>
      </c>
      <c r="BO45">
        <v>82.655776977539063</v>
      </c>
      <c r="BP45">
        <v>15.058499510929284</v>
      </c>
      <c r="BQ45">
        <v>1.1498019309910163E-3</v>
      </c>
      <c r="BR45">
        <v>52.611623495888296</v>
      </c>
      <c r="BS45">
        <v>1.0884703769794213</v>
      </c>
      <c r="BT45">
        <v>61.425100052980021</v>
      </c>
      <c r="BU45">
        <v>87.182563781738281</v>
      </c>
      <c r="BV45">
        <v>24.986650181004386</v>
      </c>
      <c r="BW45">
        <v>2.9579829677540914E-2</v>
      </c>
      <c r="BX45">
        <v>117.73210093070347</v>
      </c>
      <c r="BY45">
        <v>18.793676079259434</v>
      </c>
      <c r="BZ45">
        <v>46.630729982876865</v>
      </c>
      <c r="CA45">
        <v>80.982812499999994</v>
      </c>
      <c r="CB45">
        <v>16.768514398345332</v>
      </c>
      <c r="CC45">
        <v>5.0563747882411768E-2</v>
      </c>
      <c r="CD45">
        <v>249.20939475166756</v>
      </c>
      <c r="CE45">
        <v>13.983699453476286</v>
      </c>
      <c r="CF45">
        <v>23.099784937889215</v>
      </c>
      <c r="CG45">
        <v>66.223966979980474</v>
      </c>
      <c r="CH45">
        <v>424.0249</v>
      </c>
      <c r="CI45">
        <v>45.949399999999997</v>
      </c>
      <c r="CJ45">
        <v>144.35419999999999</v>
      </c>
      <c r="CK45">
        <v>1.0835999999999999</v>
      </c>
      <c r="CL45">
        <v>424.0249</v>
      </c>
      <c r="CM45">
        <v>3.911</v>
      </c>
      <c r="CN45">
        <v>1640</v>
      </c>
      <c r="CW45">
        <v>64.900000000000006</v>
      </c>
      <c r="CX45">
        <v>11</v>
      </c>
      <c r="CY45">
        <v>42</v>
      </c>
      <c r="CZ45">
        <v>25.1</v>
      </c>
      <c r="DA45">
        <v>23.7</v>
      </c>
      <c r="DB45">
        <v>0.9</v>
      </c>
      <c r="DC45">
        <v>0.8</v>
      </c>
      <c r="DD45">
        <v>265.50736704822253</v>
      </c>
      <c r="DE45">
        <v>232.46142871452582</v>
      </c>
      <c r="DF45">
        <v>0.8</v>
      </c>
      <c r="DG45">
        <v>0.76</v>
      </c>
      <c r="DH45">
        <v>38.414999999999999</v>
      </c>
      <c r="DI45">
        <v>29.741</v>
      </c>
      <c r="DJ45">
        <v>15.551</v>
      </c>
      <c r="DK45">
        <v>9.0649999999999995</v>
      </c>
      <c r="DL45">
        <v>81.5</v>
      </c>
      <c r="DM45">
        <v>31</v>
      </c>
      <c r="DN45">
        <v>120</v>
      </c>
      <c r="DO45">
        <v>29.9</v>
      </c>
      <c r="DP45">
        <v>30.5</v>
      </c>
      <c r="DQ45">
        <v>1</v>
      </c>
      <c r="DR45">
        <v>0.8</v>
      </c>
      <c r="DS45">
        <v>398.0271266294078</v>
      </c>
      <c r="DT45">
        <v>364.13430914210937</v>
      </c>
      <c r="DU45">
        <v>0.85</v>
      </c>
      <c r="DV45">
        <v>0.83</v>
      </c>
      <c r="DW45">
        <v>78.094999999999999</v>
      </c>
      <c r="DX45">
        <v>50.146000000000001</v>
      </c>
      <c r="DY45">
        <v>20.975000000000001</v>
      </c>
      <c r="DZ45">
        <v>14.521000000000001</v>
      </c>
      <c r="EB45">
        <v>22.938005849609993</v>
      </c>
      <c r="EC45">
        <v>4.2412078219365788E-2</v>
      </c>
      <c r="ED45">
        <v>135.81555578976418</v>
      </c>
      <c r="EE45">
        <v>20.23701250218452</v>
      </c>
      <c r="EF45">
        <v>43.961024243338457</v>
      </c>
      <c r="EG45">
        <v>78.321606445312497</v>
      </c>
      <c r="EH45">
        <v>22.858248620685966</v>
      </c>
      <c r="EI45">
        <v>4.7883670589062122E-2</v>
      </c>
      <c r="EJ45">
        <v>163.78924976119953</v>
      </c>
      <c r="EK45">
        <v>18.615586887233881</v>
      </c>
      <c r="EL45">
        <v>38.886609081238284</v>
      </c>
      <c r="EM45">
        <v>75.027346801757815</v>
      </c>
      <c r="EO45">
        <v>25.193338360880027</v>
      </c>
      <c r="EP45">
        <v>5.7887365632092312E-2</v>
      </c>
      <c r="EQ45">
        <v>304.1158560560898</v>
      </c>
      <c r="ER45">
        <v>12.581164173971583</v>
      </c>
      <c r="ES45">
        <v>18.769590663376068</v>
      </c>
      <c r="ET45">
        <v>62.436708831787108</v>
      </c>
      <c r="EU45">
        <v>16.594501172438225</v>
      </c>
      <c r="EV45">
        <v>4.2090697040053804E-2</v>
      </c>
      <c r="EW45">
        <v>310.85938523623474</v>
      </c>
      <c r="EX45">
        <v>9.3631078871905764</v>
      </c>
      <c r="EY45">
        <v>19.135343495952494</v>
      </c>
      <c r="EZ45">
        <v>62.64834899902344</v>
      </c>
      <c r="FB45">
        <v>332.9092</v>
      </c>
      <c r="FC45">
        <v>223.4948</v>
      </c>
      <c r="FD45">
        <v>702.12969999999996</v>
      </c>
      <c r="FE45">
        <v>6.7134</v>
      </c>
      <c r="FF45">
        <v>332.9092</v>
      </c>
      <c r="FG45">
        <v>117.842</v>
      </c>
      <c r="FH45">
        <v>4772</v>
      </c>
      <c r="FI45">
        <v>1039.7195999999999</v>
      </c>
      <c r="FJ45">
        <v>212.5283</v>
      </c>
      <c r="FK45">
        <v>667.67719999999997</v>
      </c>
      <c r="FL45">
        <v>2.0440999999999998</v>
      </c>
      <c r="FM45">
        <v>1039.7195999999999</v>
      </c>
      <c r="FN45">
        <v>34.119999999999997</v>
      </c>
      <c r="FO45">
        <v>5139</v>
      </c>
      <c r="FQ45">
        <v>14.8</v>
      </c>
      <c r="FR45">
        <v>0.8</v>
      </c>
      <c r="FS45">
        <v>305.14720333872469</v>
      </c>
      <c r="FT45">
        <v>0.82</v>
      </c>
      <c r="FU45">
        <v>24.5</v>
      </c>
      <c r="FV45">
        <v>1.1000000000000001</v>
      </c>
      <c r="FW45">
        <v>399.4738882066228</v>
      </c>
      <c r="FX45">
        <v>0.84</v>
      </c>
      <c r="FY45">
        <v>25.808872565649423</v>
      </c>
      <c r="FZ45">
        <v>0.55611064249789666</v>
      </c>
      <c r="GA45">
        <v>324.56883034319156</v>
      </c>
      <c r="GB45">
        <v>17.514448922106386</v>
      </c>
      <c r="GC45">
        <v>3.3082539045845993</v>
      </c>
      <c r="GD45">
        <v>39.425430297851563</v>
      </c>
      <c r="GF45">
        <v>18.599886264868683</v>
      </c>
      <c r="GG45">
        <v>0.72787539154869374</v>
      </c>
      <c r="GH45">
        <v>373.20493318205075</v>
      </c>
      <c r="GI45">
        <v>17.872231570008793</v>
      </c>
      <c r="GJ45">
        <v>2.6621721654565045</v>
      </c>
      <c r="GK45">
        <v>37.201042175292969</v>
      </c>
      <c r="GM45">
        <v>76</v>
      </c>
      <c r="GN45">
        <v>80</v>
      </c>
      <c r="GO45">
        <v>110</v>
      </c>
      <c r="GP45">
        <v>80</v>
      </c>
      <c r="GQ45">
        <v>85</v>
      </c>
      <c r="GR45">
        <v>117</v>
      </c>
      <c r="GT45">
        <v>89.3</v>
      </c>
      <c r="GU45">
        <v>34</v>
      </c>
      <c r="GV45">
        <v>26</v>
      </c>
      <c r="GW45">
        <v>77.59</v>
      </c>
      <c r="GX45">
        <v>43.95</v>
      </c>
      <c r="GY45">
        <v>23.97</v>
      </c>
      <c r="GZ45">
        <v>23.03</v>
      </c>
      <c r="HB45">
        <v>72.5</v>
      </c>
      <c r="HC45">
        <v>17</v>
      </c>
      <c r="HD45">
        <v>14</v>
      </c>
      <c r="HE45">
        <v>59.15</v>
      </c>
      <c r="HF45">
        <v>29.52</v>
      </c>
      <c r="HG45">
        <v>15.42</v>
      </c>
      <c r="HH45">
        <v>22.12</v>
      </c>
    </row>
    <row r="46" spans="1:216" x14ac:dyDescent="0.25">
      <c r="A46" t="s">
        <v>203</v>
      </c>
      <c r="B46" s="1" t="s">
        <v>219</v>
      </c>
      <c r="C46" s="3" t="s">
        <v>222</v>
      </c>
      <c r="D46" s="3">
        <v>1</v>
      </c>
      <c r="E46" s="6">
        <v>36.700000000000003</v>
      </c>
      <c r="F46" s="6">
        <v>0</v>
      </c>
      <c r="G46" s="6">
        <v>3</v>
      </c>
      <c r="H46" s="6">
        <v>18.7</v>
      </c>
      <c r="I46" s="6">
        <v>0.7</v>
      </c>
      <c r="J46" s="6">
        <v>7.5</v>
      </c>
      <c r="K46" s="6">
        <v>0.25</v>
      </c>
      <c r="L46">
        <v>0.43599999999999994</v>
      </c>
      <c r="M46">
        <v>0.16500000000000001</v>
      </c>
      <c r="N46">
        <v>0.12</v>
      </c>
      <c r="O46">
        <v>6.9000000000000006E-2</v>
      </c>
      <c r="P46">
        <v>15.034042132630878</v>
      </c>
      <c r="Q46">
        <v>0.23280804205126998</v>
      </c>
      <c r="R46">
        <v>241.87752392025459</v>
      </c>
      <c r="S46">
        <v>4.6759236931468537</v>
      </c>
      <c r="T46">
        <v>1.994224167148315</v>
      </c>
      <c r="U46">
        <v>27.569540023803711</v>
      </c>
      <c r="V46">
        <v>201.60650000000001</v>
      </c>
      <c r="W46">
        <v>17.877800000000001</v>
      </c>
      <c r="X46">
        <v>38.136000000000003</v>
      </c>
      <c r="Y46">
        <v>0.40820000000000001</v>
      </c>
      <c r="Z46">
        <v>236.68790000000001</v>
      </c>
      <c r="AA46">
        <v>0.626</v>
      </c>
      <c r="AB46">
        <v>1633</v>
      </c>
      <c r="AC46" s="1" t="s">
        <v>219</v>
      </c>
      <c r="AD46" s="3" t="s">
        <v>223</v>
      </c>
      <c r="AE46" s="3">
        <v>1</v>
      </c>
      <c r="AF46">
        <v>32.1</v>
      </c>
      <c r="AG46">
        <v>4</v>
      </c>
      <c r="AH46">
        <v>12</v>
      </c>
      <c r="AI46">
        <v>20.7</v>
      </c>
      <c r="AJ46">
        <v>20.7</v>
      </c>
      <c r="AK46">
        <v>0.7</v>
      </c>
      <c r="AL46">
        <v>0.6</v>
      </c>
      <c r="AM46">
        <v>293.3</v>
      </c>
      <c r="AN46">
        <v>185.8</v>
      </c>
      <c r="AO46">
        <v>0.78</v>
      </c>
      <c r="AP46">
        <v>0.67</v>
      </c>
      <c r="AQ46">
        <v>2.64</v>
      </c>
      <c r="AR46">
        <v>8.8999999999999996E-2</v>
      </c>
      <c r="AS46">
        <v>2.78</v>
      </c>
      <c r="AT46">
        <v>9.7000000000000003E-2</v>
      </c>
      <c r="AU46">
        <v>54.9</v>
      </c>
      <c r="AV46">
        <v>23</v>
      </c>
      <c r="AW46">
        <v>72</v>
      </c>
      <c r="AX46">
        <v>41.2</v>
      </c>
      <c r="AY46">
        <v>29.6</v>
      </c>
      <c r="AZ46">
        <v>1.2</v>
      </c>
      <c r="BA46">
        <v>0.9</v>
      </c>
      <c r="BB46">
        <v>286.10000000000002</v>
      </c>
      <c r="BC46">
        <v>265.39999999999998</v>
      </c>
      <c r="BD46">
        <v>0.82</v>
      </c>
      <c r="BE46">
        <v>0.81</v>
      </c>
      <c r="BF46">
        <v>32.869999999999997</v>
      </c>
      <c r="BG46">
        <v>15.981999999999999</v>
      </c>
      <c r="BH46">
        <v>10.981</v>
      </c>
      <c r="BI46">
        <v>3.125</v>
      </c>
      <c r="BJ46">
        <v>40.450112695561693</v>
      </c>
      <c r="BK46">
        <v>4.0289576516256025E-2</v>
      </c>
      <c r="BL46">
        <v>110.63383290668847</v>
      </c>
      <c r="BM46">
        <v>19.644357444646264</v>
      </c>
      <c r="BN46">
        <v>47.20528669846756</v>
      </c>
      <c r="BO46">
        <v>79.512135314941403</v>
      </c>
      <c r="BP46">
        <v>18.386572956761164</v>
      </c>
      <c r="BQ46">
        <v>1.0289725093584447E-2</v>
      </c>
      <c r="BR46">
        <v>243.00161210526645</v>
      </c>
      <c r="BS46">
        <v>2.9465453140413862</v>
      </c>
      <c r="BT46">
        <v>23.832250752100684</v>
      </c>
      <c r="BU46">
        <v>66.3028564453125</v>
      </c>
      <c r="BV46">
        <v>21.261611602938807</v>
      </c>
      <c r="BW46">
        <v>6.1999909497406726E-2</v>
      </c>
      <c r="BX46">
        <v>241.85138572246962</v>
      </c>
      <c r="BY46">
        <v>17.481350613097504</v>
      </c>
      <c r="BZ46">
        <v>23.542206767642938</v>
      </c>
      <c r="CA46">
        <v>66.74908447265625</v>
      </c>
      <c r="CB46">
        <v>11.921655209064962</v>
      </c>
      <c r="CC46">
        <v>2.541236535560118E-2</v>
      </c>
      <c r="CD46">
        <v>183.54827211058412</v>
      </c>
      <c r="CE46">
        <v>10.664751988507984</v>
      </c>
      <c r="CF46">
        <v>36.136600605854497</v>
      </c>
      <c r="CG46">
        <v>74.453276062011724</v>
      </c>
      <c r="CH46">
        <v>255.3931</v>
      </c>
      <c r="CI46">
        <v>25.373799999999999</v>
      </c>
      <c r="CJ46">
        <v>79.714200000000005</v>
      </c>
      <c r="CK46">
        <v>0.99350000000000005</v>
      </c>
      <c r="CL46">
        <v>255.3931</v>
      </c>
      <c r="CM46">
        <v>1.98</v>
      </c>
      <c r="CN46">
        <v>953</v>
      </c>
      <c r="CO46">
        <v>264.32829999999996</v>
      </c>
      <c r="CP46">
        <v>34.965266666666665</v>
      </c>
      <c r="CQ46">
        <v>109.84670000000001</v>
      </c>
      <c r="CR46">
        <v>1.3224333333333333</v>
      </c>
      <c r="CS46">
        <v>264.32829999999996</v>
      </c>
      <c r="CT46">
        <v>3.7516666666666669</v>
      </c>
      <c r="CU46">
        <v>875</v>
      </c>
      <c r="CW46">
        <v>63.5</v>
      </c>
      <c r="CX46">
        <v>8</v>
      </c>
      <c r="CY46">
        <v>32</v>
      </c>
      <c r="CZ46">
        <v>27.5</v>
      </c>
      <c r="DA46">
        <v>24.6</v>
      </c>
      <c r="DB46">
        <v>0.8</v>
      </c>
      <c r="DC46">
        <v>0.6</v>
      </c>
      <c r="DD46">
        <v>258.68415098065896</v>
      </c>
      <c r="DE46">
        <v>218.02238372676982</v>
      </c>
      <c r="DF46">
        <v>0.76</v>
      </c>
      <c r="DG46">
        <v>0.67</v>
      </c>
      <c r="DH46">
        <v>32.706000000000003</v>
      </c>
      <c r="DI46">
        <v>25.613</v>
      </c>
      <c r="DJ46">
        <v>12.314</v>
      </c>
      <c r="DK46">
        <v>10.975</v>
      </c>
      <c r="DL46">
        <v>86.7</v>
      </c>
      <c r="DM46">
        <v>41</v>
      </c>
      <c r="DN46">
        <v>135</v>
      </c>
      <c r="DO46">
        <v>31.6</v>
      </c>
      <c r="DP46">
        <v>30.5</v>
      </c>
      <c r="DQ46">
        <v>1</v>
      </c>
      <c r="DR46">
        <v>0.8</v>
      </c>
      <c r="DS46">
        <v>379.02003750596458</v>
      </c>
      <c r="DT46">
        <v>350.52586190798121</v>
      </c>
      <c r="DU46">
        <v>0.84</v>
      </c>
      <c r="DV46">
        <v>0.83</v>
      </c>
      <c r="DW46">
        <v>73.965000000000003</v>
      </c>
      <c r="DX46">
        <v>35.975999999999999</v>
      </c>
      <c r="DY46">
        <v>20.914999999999999</v>
      </c>
      <c r="DZ46">
        <v>12.435</v>
      </c>
      <c r="EB46">
        <v>24.986650181004386</v>
      </c>
      <c r="EC46">
        <v>2.9579829677540914E-2</v>
      </c>
      <c r="ED46">
        <v>117.73210093070347</v>
      </c>
      <c r="EE46">
        <v>18.793676079259434</v>
      </c>
      <c r="EF46">
        <v>46.630729982876865</v>
      </c>
      <c r="EG46">
        <v>80.982812499999994</v>
      </c>
      <c r="EH46">
        <v>23.655431552121506</v>
      </c>
      <c r="EI46">
        <v>2.2826407072979938E-2</v>
      </c>
      <c r="EJ46">
        <v>86.496140958310519</v>
      </c>
      <c r="EK46">
        <v>17.553669038113448</v>
      </c>
      <c r="EL46">
        <v>53.335911576963312</v>
      </c>
      <c r="EM46">
        <v>84.025498962402338</v>
      </c>
      <c r="EO46">
        <v>21.310889219980542</v>
      </c>
      <c r="EP46">
        <v>3.3584695575000774E-2</v>
      </c>
      <c r="EQ46">
        <v>337.13140519292278</v>
      </c>
      <c r="ER46">
        <v>5.9601724888853109</v>
      </c>
      <c r="ES46">
        <v>15.598842456877668</v>
      </c>
      <c r="ET46">
        <v>58.700207519531247</v>
      </c>
      <c r="EU46">
        <v>11.033448893768213</v>
      </c>
      <c r="EV46">
        <v>3.2874481924034735E-2</v>
      </c>
      <c r="EW46">
        <v>345.74201957568215</v>
      </c>
      <c r="EX46">
        <v>5.9213878169388732</v>
      </c>
      <c r="EY46">
        <v>15.810785843564741</v>
      </c>
      <c r="EZ46">
        <v>58.936093139648435</v>
      </c>
      <c r="FB46">
        <v>606.93470000000002</v>
      </c>
      <c r="FC46">
        <v>249.16390000000001</v>
      </c>
      <c r="FD46">
        <v>782.77160000000003</v>
      </c>
      <c r="FE46">
        <v>4.1052999999999997</v>
      </c>
      <c r="FF46">
        <v>606.93470000000002</v>
      </c>
      <c r="FG46">
        <v>80.337000000000003</v>
      </c>
      <c r="FH46">
        <v>6859</v>
      </c>
      <c r="FI46">
        <v>716.95050000000003</v>
      </c>
      <c r="FJ46">
        <v>70.090699999999998</v>
      </c>
      <c r="FK46">
        <v>220.19630000000001</v>
      </c>
      <c r="FL46">
        <v>0.97760000000000002</v>
      </c>
      <c r="FM46">
        <v>716.95050000000003</v>
      </c>
      <c r="FN46">
        <v>5.3819999999999997</v>
      </c>
      <c r="FO46">
        <v>2265</v>
      </c>
      <c r="FQ46">
        <v>16.5</v>
      </c>
      <c r="FR46">
        <v>1</v>
      </c>
      <c r="FS46">
        <v>255.24700111142118</v>
      </c>
      <c r="FT46">
        <v>0.84</v>
      </c>
      <c r="FU46">
        <v>21.5</v>
      </c>
      <c r="FV46">
        <v>1.2</v>
      </c>
      <c r="FW46">
        <v>353.56794103100185</v>
      </c>
      <c r="FX46">
        <v>0.83</v>
      </c>
      <c r="FY46">
        <v>20.527621982735013</v>
      </c>
      <c r="FZ46">
        <v>0.32533746540909264</v>
      </c>
      <c r="GA46">
        <v>296.37579038285332</v>
      </c>
      <c r="GB46">
        <v>13.660044685471011</v>
      </c>
      <c r="GC46">
        <v>4.1825896512383984</v>
      </c>
      <c r="GD46">
        <v>41.150260925292969</v>
      </c>
      <c r="GF46">
        <v>25.960516073399418</v>
      </c>
      <c r="GG46">
        <v>0.74794666253813979</v>
      </c>
      <c r="GH46">
        <v>353.1671789218064</v>
      </c>
      <c r="GI46">
        <v>18.245920770914573</v>
      </c>
      <c r="GJ46">
        <v>2.6580535663966245</v>
      </c>
      <c r="GK46">
        <v>36.902851104736328</v>
      </c>
      <c r="GM46">
        <v>87</v>
      </c>
      <c r="GN46">
        <v>93</v>
      </c>
      <c r="GO46">
        <v>124</v>
      </c>
      <c r="GP46">
        <v>91</v>
      </c>
      <c r="GQ46">
        <v>96</v>
      </c>
      <c r="GR46">
        <v>128</v>
      </c>
      <c r="GT46">
        <v>69</v>
      </c>
      <c r="GU46">
        <v>25</v>
      </c>
      <c r="GV46">
        <v>11</v>
      </c>
      <c r="GW46">
        <v>66.95</v>
      </c>
      <c r="GX46">
        <v>38.15</v>
      </c>
      <c r="GY46">
        <v>20.350000000000001</v>
      </c>
      <c r="GZ46">
        <v>21.58</v>
      </c>
      <c r="HB46">
        <v>72</v>
      </c>
      <c r="HC46">
        <v>9</v>
      </c>
      <c r="HD46">
        <v>5</v>
      </c>
      <c r="HE46">
        <v>48.12</v>
      </c>
      <c r="HF46">
        <v>28.12</v>
      </c>
      <c r="HG46">
        <v>12.8</v>
      </c>
      <c r="HH46">
        <v>15.77</v>
      </c>
    </row>
    <row r="47" spans="1:216" x14ac:dyDescent="0.25">
      <c r="B47" s="1" t="s">
        <v>219</v>
      </c>
      <c r="C47" s="3" t="s">
        <v>222</v>
      </c>
      <c r="D47" s="3">
        <v>2</v>
      </c>
      <c r="E47" s="6">
        <v>38.5</v>
      </c>
      <c r="F47" s="6">
        <v>0</v>
      </c>
      <c r="G47" s="6">
        <v>3</v>
      </c>
      <c r="H47" s="6">
        <v>19.8</v>
      </c>
      <c r="I47" s="6">
        <v>0.6</v>
      </c>
      <c r="J47" s="6">
        <v>8.3000000000000007</v>
      </c>
      <c r="K47" s="6">
        <v>0.26</v>
      </c>
      <c r="L47">
        <v>0.48899999999999999</v>
      </c>
      <c r="M47">
        <v>0.17599999999999999</v>
      </c>
      <c r="N47">
        <v>9.0999999999999998E-2</v>
      </c>
      <c r="O47">
        <v>7.0999999999999994E-2</v>
      </c>
      <c r="P47">
        <v>13.207400089248173</v>
      </c>
      <c r="Q47">
        <v>0.22758797759930452</v>
      </c>
      <c r="R47">
        <v>252.17634711320423</v>
      </c>
      <c r="S47">
        <v>4.5842222031600688</v>
      </c>
      <c r="T47">
        <v>1.9979546759823386</v>
      </c>
      <c r="U47">
        <v>27.567728042602539</v>
      </c>
      <c r="V47">
        <v>236.68790000000001</v>
      </c>
      <c r="W47">
        <v>16.407699999999998</v>
      </c>
      <c r="X47">
        <v>56.164700000000003</v>
      </c>
      <c r="Y47">
        <v>0.49690000000000001</v>
      </c>
      <c r="Z47">
        <v>280.3809</v>
      </c>
      <c r="AA47">
        <v>0.61699999999999999</v>
      </c>
      <c r="AB47">
        <v>1016</v>
      </c>
      <c r="AD47" s="3" t="s">
        <v>223</v>
      </c>
      <c r="AE47" s="3">
        <v>2</v>
      </c>
      <c r="AF47">
        <v>34</v>
      </c>
      <c r="AG47">
        <v>5</v>
      </c>
      <c r="AH47">
        <v>14</v>
      </c>
      <c r="AI47">
        <v>21</v>
      </c>
      <c r="AJ47">
        <v>21</v>
      </c>
      <c r="AK47">
        <v>0.7</v>
      </c>
      <c r="AL47">
        <v>0.6</v>
      </c>
      <c r="AM47">
        <v>351.4</v>
      </c>
      <c r="AN47">
        <v>225.7</v>
      </c>
      <c r="AO47">
        <v>0.76</v>
      </c>
      <c r="AP47">
        <v>0.68</v>
      </c>
      <c r="AQ47">
        <v>5.46</v>
      </c>
      <c r="AR47">
        <v>1.0920000000000001</v>
      </c>
      <c r="AS47">
        <v>4.29</v>
      </c>
      <c r="AT47">
        <v>1.0169999999999999</v>
      </c>
      <c r="AU47">
        <v>59</v>
      </c>
      <c r="AV47">
        <v>26</v>
      </c>
      <c r="AW47">
        <v>83</v>
      </c>
      <c r="AX47">
        <v>39.6</v>
      </c>
      <c r="AY47">
        <v>26.7</v>
      </c>
      <c r="AZ47">
        <v>1.1000000000000001</v>
      </c>
      <c r="BA47">
        <v>0.9</v>
      </c>
      <c r="BB47">
        <v>273.60000000000002</v>
      </c>
      <c r="BC47">
        <v>214.5</v>
      </c>
      <c r="BD47">
        <v>0.84</v>
      </c>
      <c r="BE47">
        <v>0.82</v>
      </c>
      <c r="BF47">
        <v>36.420999999999999</v>
      </c>
      <c r="BG47">
        <v>15.673</v>
      </c>
      <c r="BH47">
        <v>12.141</v>
      </c>
      <c r="BI47">
        <v>3.512</v>
      </c>
      <c r="BJ47">
        <v>43.473267926402016</v>
      </c>
      <c r="BK47">
        <v>3.467901988251007E-2</v>
      </c>
      <c r="BL47">
        <v>99.646793944401566</v>
      </c>
      <c r="BM47">
        <v>19.82618932553185</v>
      </c>
      <c r="BN47">
        <v>49.057372123734034</v>
      </c>
      <c r="BO47">
        <v>81.13116455078125</v>
      </c>
      <c r="BP47">
        <v>17.636711961708624</v>
      </c>
      <c r="BQ47">
        <v>1.2187984472238766E-2</v>
      </c>
      <c r="BR47">
        <v>170.48991397352083</v>
      </c>
      <c r="BS47">
        <v>4.8432852001249991</v>
      </c>
      <c r="BT47">
        <v>37.887041049268085</v>
      </c>
      <c r="BU47">
        <v>74.308456420898438</v>
      </c>
      <c r="BV47">
        <v>27.871992022653171</v>
      </c>
      <c r="BW47">
        <v>3.1077576802102221E-2</v>
      </c>
      <c r="BX47">
        <v>84.073800376493409</v>
      </c>
      <c r="BY47">
        <v>23.405626654013702</v>
      </c>
      <c r="BZ47">
        <v>53.7422726187473</v>
      </c>
      <c r="CA47">
        <v>84.082366943359375</v>
      </c>
      <c r="CB47">
        <v>23.352110868902358</v>
      </c>
      <c r="CC47">
        <v>7.1260346543131112E-2</v>
      </c>
      <c r="CD47">
        <v>243.74845006566898</v>
      </c>
      <c r="CE47">
        <v>19.813401684429856</v>
      </c>
      <c r="CF47">
        <v>23.271924298105493</v>
      </c>
      <c r="CG47">
        <v>66.433857727050778</v>
      </c>
      <c r="CH47">
        <v>246.63460000000001</v>
      </c>
      <c r="CI47">
        <v>38.970700000000001</v>
      </c>
      <c r="CJ47">
        <v>122.4302</v>
      </c>
      <c r="CK47">
        <v>1.5801000000000001</v>
      </c>
      <c r="CL47">
        <v>246.63460000000001</v>
      </c>
      <c r="CM47">
        <v>4.8360000000000003</v>
      </c>
      <c r="CN47">
        <v>980</v>
      </c>
      <c r="CO47">
        <v>239.9007</v>
      </c>
      <c r="CP47">
        <v>14.580066666666667</v>
      </c>
      <c r="CQ47">
        <v>67.062966666666668</v>
      </c>
      <c r="CR47">
        <v>0.92580000000000007</v>
      </c>
      <c r="CS47">
        <v>160.82276666666667</v>
      </c>
      <c r="CT47">
        <v>1.0503333333333333</v>
      </c>
      <c r="CU47">
        <v>756.66666666666663</v>
      </c>
      <c r="CW47">
        <v>60.4</v>
      </c>
      <c r="CX47">
        <v>8</v>
      </c>
      <c r="CY47">
        <v>31</v>
      </c>
      <c r="CZ47">
        <v>20.399999999999999</v>
      </c>
      <c r="DA47">
        <v>25</v>
      </c>
      <c r="DB47">
        <v>0.8</v>
      </c>
      <c r="DC47">
        <v>0.6</v>
      </c>
      <c r="DD47">
        <v>248.31981629108327</v>
      </c>
      <c r="DE47">
        <v>216.19315819126524</v>
      </c>
      <c r="DF47">
        <v>0.78</v>
      </c>
      <c r="DG47">
        <v>0.71</v>
      </c>
      <c r="DH47">
        <v>31.600999999999999</v>
      </c>
      <c r="DI47">
        <v>29.54</v>
      </c>
      <c r="DJ47">
        <v>13.862</v>
      </c>
      <c r="DK47">
        <v>11.234999999999999</v>
      </c>
      <c r="DL47">
        <v>82.5</v>
      </c>
      <c r="DM47">
        <v>33</v>
      </c>
      <c r="DN47">
        <v>102</v>
      </c>
      <c r="DO47">
        <v>34.200000000000003</v>
      </c>
      <c r="DP47">
        <v>30.5</v>
      </c>
      <c r="DQ47">
        <v>1</v>
      </c>
      <c r="DR47">
        <v>0.8</v>
      </c>
      <c r="DS47">
        <v>390.76102962994929</v>
      </c>
      <c r="DT47">
        <v>347.47324037233329</v>
      </c>
      <c r="DU47">
        <v>0.84</v>
      </c>
      <c r="DV47">
        <v>0.82</v>
      </c>
      <c r="DW47">
        <v>68.153000000000006</v>
      </c>
      <c r="DX47">
        <v>41.524000000000001</v>
      </c>
      <c r="DY47">
        <v>19.731999999999999</v>
      </c>
      <c r="DZ47">
        <v>14.621</v>
      </c>
      <c r="EB47">
        <v>21.261611602938807</v>
      </c>
      <c r="EC47">
        <v>6.1999909497406726E-2</v>
      </c>
      <c r="ED47">
        <v>241.85138572246962</v>
      </c>
      <c r="EE47">
        <v>17.481350613097504</v>
      </c>
      <c r="EF47">
        <v>23.542206767642938</v>
      </c>
      <c r="EG47">
        <v>66.74908447265625</v>
      </c>
      <c r="EH47">
        <v>16.768514398345332</v>
      </c>
      <c r="EI47">
        <v>5.0563747882411768E-2</v>
      </c>
      <c r="EJ47">
        <v>249.20939475166756</v>
      </c>
      <c r="EK47">
        <v>13.983699453476286</v>
      </c>
      <c r="EL47">
        <v>23.099784937889215</v>
      </c>
      <c r="EM47">
        <v>66.223966979980474</v>
      </c>
      <c r="EO47">
        <v>21.666034766757093</v>
      </c>
      <c r="EP47">
        <v>4.650136323230164E-2</v>
      </c>
      <c r="EQ47">
        <v>330.59829647929178</v>
      </c>
      <c r="ER47">
        <v>8.423990637403957</v>
      </c>
      <c r="ES47">
        <v>15.909315093395881</v>
      </c>
      <c r="ET47">
        <v>59.270109558105467</v>
      </c>
      <c r="EU47">
        <v>16.334410635421072</v>
      </c>
      <c r="EV47">
        <v>4.605803674516272E-2</v>
      </c>
      <c r="EW47">
        <v>332.86080124693092</v>
      </c>
      <c r="EX47">
        <v>8.6374415245450926</v>
      </c>
      <c r="EY47">
        <v>16.413849143252385</v>
      </c>
      <c r="EZ47">
        <v>59.853775787353513</v>
      </c>
      <c r="FB47">
        <v>592.91150000000005</v>
      </c>
      <c r="FC47">
        <v>219.88980000000001</v>
      </c>
      <c r="FD47">
        <v>690.80420000000004</v>
      </c>
      <c r="FE47">
        <v>3.7086000000000001</v>
      </c>
      <c r="FF47">
        <v>592.91150000000005</v>
      </c>
      <c r="FG47">
        <v>64.049000000000007</v>
      </c>
      <c r="FH47">
        <v>4221</v>
      </c>
      <c r="FI47">
        <v>274.31139999999999</v>
      </c>
      <c r="FJ47">
        <v>30.671500000000002</v>
      </c>
      <c r="FK47">
        <v>96.357500000000002</v>
      </c>
      <c r="FL47">
        <v>1.1181000000000001</v>
      </c>
      <c r="FM47">
        <v>274.31139999999999</v>
      </c>
      <c r="FN47">
        <v>2.694</v>
      </c>
      <c r="FO47">
        <v>830</v>
      </c>
      <c r="FQ47">
        <v>14.1</v>
      </c>
      <c r="FR47">
        <v>1</v>
      </c>
      <c r="FS47">
        <v>244.8290197749759</v>
      </c>
      <c r="FT47">
        <v>0.84</v>
      </c>
      <c r="FU47">
        <v>19</v>
      </c>
      <c r="FV47">
        <v>1.2</v>
      </c>
      <c r="FW47">
        <v>352.04820989760907</v>
      </c>
      <c r="FX47">
        <v>0.83</v>
      </c>
      <c r="FY47">
        <v>20.503507365484015</v>
      </c>
      <c r="FZ47">
        <v>0.32484223638455756</v>
      </c>
      <c r="GA47">
        <v>296.3301056994369</v>
      </c>
      <c r="GB47">
        <v>13.650426938384992</v>
      </c>
      <c r="GC47">
        <v>4.1855044261480394</v>
      </c>
      <c r="GD47">
        <v>41.156074523925781</v>
      </c>
      <c r="GF47">
        <v>25.960516073399418</v>
      </c>
      <c r="GG47">
        <v>0.74794666253813979</v>
      </c>
      <c r="GH47">
        <v>353.1671789218064</v>
      </c>
      <c r="GI47">
        <v>18.245920770914573</v>
      </c>
      <c r="GJ47">
        <v>2.6580535663966245</v>
      </c>
      <c r="GK47">
        <v>36.902851104736328</v>
      </c>
      <c r="GM47">
        <v>87</v>
      </c>
      <c r="GN47">
        <v>93</v>
      </c>
      <c r="GO47">
        <v>124</v>
      </c>
      <c r="GP47">
        <v>91</v>
      </c>
      <c r="GQ47">
        <v>96</v>
      </c>
      <c r="GR47">
        <v>128</v>
      </c>
      <c r="GT47">
        <v>80</v>
      </c>
      <c r="GU47">
        <v>21</v>
      </c>
      <c r="GV47">
        <v>14</v>
      </c>
      <c r="GW47">
        <v>72.150000000000006</v>
      </c>
      <c r="GX47">
        <v>40.15</v>
      </c>
      <c r="GY47">
        <v>21.58</v>
      </c>
      <c r="GZ47">
        <v>21.97</v>
      </c>
      <c r="HB47">
        <v>76</v>
      </c>
      <c r="HC47">
        <v>9</v>
      </c>
      <c r="HD47">
        <v>7</v>
      </c>
      <c r="HE47">
        <v>50.35</v>
      </c>
      <c r="HF47">
        <v>28.99</v>
      </c>
      <c r="HG47">
        <v>13.65</v>
      </c>
      <c r="HH47">
        <v>15.96</v>
      </c>
    </row>
    <row r="48" spans="1:216" x14ac:dyDescent="0.25">
      <c r="B48" s="1" t="s">
        <v>219</v>
      </c>
      <c r="C48" s="3" t="s">
        <v>222</v>
      </c>
      <c r="D48" s="3">
        <v>3</v>
      </c>
      <c r="E48" s="6">
        <v>38.200000000000003</v>
      </c>
      <c r="F48" s="6">
        <v>0</v>
      </c>
      <c r="G48" s="6">
        <v>3</v>
      </c>
      <c r="H48" s="6">
        <v>19.5</v>
      </c>
      <c r="I48" s="6">
        <v>0.5</v>
      </c>
      <c r="J48" s="6">
        <v>7.9</v>
      </c>
      <c r="K48" s="6">
        <v>0.32</v>
      </c>
      <c r="L48">
        <v>0.49099999999999999</v>
      </c>
      <c r="M48">
        <v>0.187</v>
      </c>
      <c r="N48">
        <v>0.10299999999999999</v>
      </c>
      <c r="O48">
        <v>6.7000000000000004E-2</v>
      </c>
      <c r="P48">
        <v>15.032127164118082</v>
      </c>
      <c r="Q48">
        <v>0.21870622655892963</v>
      </c>
      <c r="R48">
        <v>234.62733736669225</v>
      </c>
      <c r="S48">
        <v>4.4149159277807009</v>
      </c>
      <c r="T48">
        <v>1.998830960545616</v>
      </c>
      <c r="U48">
        <v>27.571603775024414</v>
      </c>
      <c r="V48">
        <v>280.3809</v>
      </c>
      <c r="W48">
        <v>17.7773</v>
      </c>
      <c r="X48">
        <v>48.863999999999997</v>
      </c>
      <c r="Y48">
        <v>0.35680000000000001</v>
      </c>
      <c r="Z48">
        <v>313.00409999999999</v>
      </c>
      <c r="AA48">
        <v>0.60699999999999998</v>
      </c>
      <c r="AB48">
        <v>1028</v>
      </c>
      <c r="AD48" s="3" t="s">
        <v>223</v>
      </c>
      <c r="AE48" s="3">
        <v>3</v>
      </c>
      <c r="AF48">
        <v>36.799999999999997</v>
      </c>
      <c r="AG48">
        <v>4</v>
      </c>
      <c r="AH48">
        <v>13</v>
      </c>
      <c r="AI48">
        <v>21.8</v>
      </c>
      <c r="AJ48">
        <v>21.8</v>
      </c>
      <c r="AK48">
        <v>0.7</v>
      </c>
      <c r="AL48">
        <v>0.6</v>
      </c>
      <c r="AM48">
        <v>323.7</v>
      </c>
      <c r="AN48">
        <v>199.7</v>
      </c>
      <c r="AO48">
        <v>0.77</v>
      </c>
      <c r="AP48">
        <v>0.71</v>
      </c>
      <c r="AQ48">
        <v>5.3650000000000002</v>
      </c>
      <c r="AR48">
        <v>1.992</v>
      </c>
      <c r="AS48">
        <v>3.3519999999999999</v>
      </c>
      <c r="AT48">
        <v>1.012</v>
      </c>
      <c r="AU48">
        <v>56.7</v>
      </c>
      <c r="AV48">
        <v>24</v>
      </c>
      <c r="AW48">
        <v>70</v>
      </c>
      <c r="AX48">
        <v>38.5</v>
      </c>
      <c r="AY48">
        <v>29.9</v>
      </c>
      <c r="AZ48">
        <v>1</v>
      </c>
      <c r="BA48">
        <v>0.8</v>
      </c>
      <c r="BB48">
        <v>257.39999999999998</v>
      </c>
      <c r="BC48">
        <v>227.8</v>
      </c>
      <c r="BD48">
        <v>0.82</v>
      </c>
      <c r="BE48">
        <v>0.82</v>
      </c>
      <c r="BF48">
        <v>30.34</v>
      </c>
      <c r="BG48">
        <v>14.242000000000001</v>
      </c>
      <c r="BH48">
        <v>10.689</v>
      </c>
      <c r="BI48">
        <v>3.617</v>
      </c>
      <c r="BJ48">
        <v>38.850088054474497</v>
      </c>
      <c r="BK48">
        <v>2.3352984855622268E-2</v>
      </c>
      <c r="BL48">
        <v>76.712095630200253</v>
      </c>
      <c r="BM48">
        <v>18.421212324342868</v>
      </c>
      <c r="BN48">
        <v>54.102393161768347</v>
      </c>
      <c r="BO48">
        <v>84.435842895507818</v>
      </c>
      <c r="BP48">
        <v>26.208554594586086</v>
      </c>
      <c r="BQ48">
        <v>3.4232605066476837E-2</v>
      </c>
      <c r="BR48">
        <v>226.29299670395108</v>
      </c>
      <c r="BS48">
        <v>10.172505685743172</v>
      </c>
      <c r="BT48">
        <v>24.995115803319372</v>
      </c>
      <c r="BU48">
        <v>67.465594482421878</v>
      </c>
      <c r="BV48">
        <v>20.440848257252107</v>
      </c>
      <c r="BW48">
        <v>5.8824124864213526E-2</v>
      </c>
      <c r="BX48">
        <v>242.05900160012843</v>
      </c>
      <c r="BY48">
        <v>16.857517337017619</v>
      </c>
      <c r="BZ48">
        <v>23.86975953339121</v>
      </c>
      <c r="CA48">
        <v>66.812112426757807</v>
      </c>
      <c r="CB48">
        <v>13.362676805481817</v>
      </c>
      <c r="CC48">
        <v>4.1646056783602878E-2</v>
      </c>
      <c r="CD48">
        <v>247.98541106894314</v>
      </c>
      <c r="CE48">
        <v>12.051854440045652</v>
      </c>
      <c r="CF48">
        <v>24.044597975799551</v>
      </c>
      <c r="CG48">
        <v>66.794602966308588</v>
      </c>
      <c r="CH48">
        <v>290.9572</v>
      </c>
      <c r="CI48">
        <v>40.551299999999998</v>
      </c>
      <c r="CJ48">
        <v>127.39570000000001</v>
      </c>
      <c r="CK48">
        <v>1.3936999999999999</v>
      </c>
      <c r="CL48">
        <v>290.9572</v>
      </c>
      <c r="CM48">
        <v>4.4390000000000001</v>
      </c>
      <c r="CN48">
        <v>692</v>
      </c>
      <c r="CW48">
        <v>64.099999999999994</v>
      </c>
      <c r="CX48">
        <v>9</v>
      </c>
      <c r="CY48">
        <v>34</v>
      </c>
      <c r="CZ48">
        <v>18.600000000000001</v>
      </c>
      <c r="DA48">
        <v>23</v>
      </c>
      <c r="DB48">
        <v>0.7</v>
      </c>
      <c r="DC48">
        <v>0.6</v>
      </c>
      <c r="DD48">
        <v>246.57672602680049</v>
      </c>
      <c r="DE48">
        <v>225.2843066332689</v>
      </c>
      <c r="DF48">
        <v>0.77</v>
      </c>
      <c r="DG48">
        <v>0.69</v>
      </c>
      <c r="DH48">
        <v>33.164999999999999</v>
      </c>
      <c r="DI48">
        <v>29.073</v>
      </c>
      <c r="DJ48">
        <v>15.612</v>
      </c>
      <c r="DK48">
        <v>10.516999999999999</v>
      </c>
      <c r="DL48">
        <v>86.7</v>
      </c>
      <c r="DM48">
        <v>37</v>
      </c>
      <c r="DN48">
        <v>119</v>
      </c>
      <c r="DO48">
        <v>30.1</v>
      </c>
      <c r="DP48">
        <v>28.5</v>
      </c>
      <c r="DQ48">
        <v>1</v>
      </c>
      <c r="DR48">
        <v>0.8</v>
      </c>
      <c r="DS48">
        <v>386.37505713746452</v>
      </c>
      <c r="DT48">
        <v>347.47324037233329</v>
      </c>
      <c r="DU48">
        <v>0.84</v>
      </c>
      <c r="DV48">
        <v>0.82</v>
      </c>
      <c r="DW48">
        <v>61.651000000000003</v>
      </c>
      <c r="DX48">
        <v>35.966999999999999</v>
      </c>
      <c r="DY48">
        <v>18.751999999999999</v>
      </c>
      <c r="DZ48">
        <v>11.986000000000001</v>
      </c>
      <c r="EB48">
        <v>21.261611602938807</v>
      </c>
      <c r="EC48">
        <v>6.1999909497406726E-2</v>
      </c>
      <c r="ED48">
        <v>241.85138572246962</v>
      </c>
      <c r="EE48">
        <v>17.481350613097504</v>
      </c>
      <c r="EF48">
        <v>23.542206767642938</v>
      </c>
      <c r="EG48">
        <v>66.74908447265625</v>
      </c>
      <c r="EH48">
        <v>11.921655209064962</v>
      </c>
      <c r="EI48">
        <v>2.541236535560118E-2</v>
      </c>
      <c r="EJ48">
        <v>183.54827211058412</v>
      </c>
      <c r="EK48">
        <v>10.664751988507984</v>
      </c>
      <c r="EL48">
        <v>36.136600605854497</v>
      </c>
      <c r="EM48">
        <v>74.453276062011724</v>
      </c>
      <c r="EO48">
        <v>25.790635172349653</v>
      </c>
      <c r="EP48">
        <v>5.5941299791846387E-2</v>
      </c>
      <c r="EQ48">
        <v>317.15548079706849</v>
      </c>
      <c r="ER48">
        <v>11.020715798287444</v>
      </c>
      <c r="ES48">
        <v>17.184172229726681</v>
      </c>
      <c r="ET48">
        <v>60.744570922851565</v>
      </c>
      <c r="EU48">
        <v>17.781203379176109</v>
      </c>
      <c r="EV48">
        <v>4.8589635740612369E-2</v>
      </c>
      <c r="EW48">
        <v>317.864833904183</v>
      </c>
      <c r="EX48">
        <v>10.24388069616775</v>
      </c>
      <c r="EY48">
        <v>18.2546744094576</v>
      </c>
      <c r="EZ48">
        <v>61.792757415771483</v>
      </c>
      <c r="FB48">
        <v>124.91630000000001</v>
      </c>
      <c r="FC48">
        <v>318.2097</v>
      </c>
      <c r="FD48">
        <v>999.68529999999998</v>
      </c>
      <c r="FE48">
        <v>25.473800000000001</v>
      </c>
      <c r="FF48">
        <v>124.91630000000001</v>
      </c>
      <c r="FG48">
        <v>636.64499999999998</v>
      </c>
      <c r="FH48">
        <v>4076</v>
      </c>
      <c r="FI48">
        <v>995.40210000000002</v>
      </c>
      <c r="FJ48">
        <v>169.08519999999999</v>
      </c>
      <c r="FK48">
        <v>531.19669999999996</v>
      </c>
      <c r="FL48">
        <v>1.6987000000000001</v>
      </c>
      <c r="FM48">
        <v>995.40210000000002</v>
      </c>
      <c r="FN48">
        <v>22.558</v>
      </c>
      <c r="FO48">
        <v>3700</v>
      </c>
      <c r="FQ48">
        <v>12</v>
      </c>
      <c r="FR48">
        <v>0.9</v>
      </c>
      <c r="FS48">
        <v>256.96774120462396</v>
      </c>
      <c r="FT48">
        <v>0.84</v>
      </c>
      <c r="FU48">
        <v>24.5</v>
      </c>
      <c r="FV48">
        <v>1.2</v>
      </c>
      <c r="FW48">
        <v>352.04820989760907</v>
      </c>
      <c r="FX48">
        <v>0.83</v>
      </c>
      <c r="FY48">
        <v>20.611022333688869</v>
      </c>
      <c r="FZ48">
        <v>0.32333397341079606</v>
      </c>
      <c r="GA48">
        <v>295.2632647530848</v>
      </c>
      <c r="GB48">
        <v>13.618379471348684</v>
      </c>
      <c r="GC48">
        <v>4.1936296369522461</v>
      </c>
      <c r="GD48">
        <v>41.171844482421875</v>
      </c>
      <c r="GF48">
        <v>26.055240143387017</v>
      </c>
      <c r="GG48">
        <v>0.74767825187599002</v>
      </c>
      <c r="GH48">
        <v>352.91612709734579</v>
      </c>
      <c r="GI48">
        <v>18.236870457257634</v>
      </c>
      <c r="GJ48">
        <v>2.6575638426080683</v>
      </c>
      <c r="GK48">
        <v>36.900138854980469</v>
      </c>
      <c r="GM48">
        <v>87</v>
      </c>
      <c r="GN48">
        <v>93</v>
      </c>
      <c r="GO48">
        <v>124</v>
      </c>
      <c r="GP48">
        <v>91</v>
      </c>
      <c r="GQ48">
        <v>96</v>
      </c>
      <c r="GR48">
        <v>128</v>
      </c>
      <c r="GT48">
        <v>74</v>
      </c>
      <c r="GU48">
        <v>19</v>
      </c>
      <c r="GV48">
        <v>14</v>
      </c>
      <c r="GW48">
        <v>69.540000000000006</v>
      </c>
      <c r="GX48">
        <v>39.049999999999997</v>
      </c>
      <c r="GY48">
        <v>20.99</v>
      </c>
      <c r="GZ48">
        <v>21.45</v>
      </c>
      <c r="HB48">
        <v>71</v>
      </c>
      <c r="HC48">
        <v>8</v>
      </c>
      <c r="HD48">
        <v>6</v>
      </c>
      <c r="HE48">
        <v>49.52</v>
      </c>
      <c r="HF48">
        <v>28.52</v>
      </c>
      <c r="HG48">
        <v>12.9</v>
      </c>
      <c r="HH48">
        <v>15.4</v>
      </c>
    </row>
    <row r="49" spans="5:11" x14ac:dyDescent="0.25">
      <c r="E49" s="6"/>
      <c r="F49" s="6"/>
      <c r="G49" s="6"/>
      <c r="H49" s="6"/>
      <c r="I49" s="6"/>
      <c r="J49" s="6"/>
      <c r="K49" s="6"/>
    </row>
    <row r="50" spans="5:11" x14ac:dyDescent="0.25">
      <c r="E50" s="6"/>
      <c r="F50" s="6"/>
      <c r="G50" s="6"/>
      <c r="H50" s="6"/>
      <c r="I50" s="6"/>
      <c r="J50" s="6"/>
      <c r="K50" s="6"/>
    </row>
    <row r="51" spans="5:11" x14ac:dyDescent="0.25">
      <c r="E51" s="6"/>
      <c r="F51" s="6"/>
      <c r="G51" s="6"/>
      <c r="H51" s="6"/>
      <c r="I51" s="6"/>
      <c r="J51" s="6"/>
      <c r="K51" s="6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Final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Phenomics04</dc:creator>
  <cp:lastModifiedBy>Harika Amooru</cp:lastModifiedBy>
  <dcterms:created xsi:type="dcterms:W3CDTF">2022-11-15T09:11:40Z</dcterms:created>
  <dcterms:modified xsi:type="dcterms:W3CDTF">2026-08-13T15:04:35Z</dcterms:modified>
</cp:coreProperties>
</file>